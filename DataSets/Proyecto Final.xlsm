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svg" ContentType="image/svg+xml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a\Downloads\"/>
    </mc:Choice>
  </mc:AlternateContent>
  <bookViews>
    <workbookView xWindow="0" yWindow="0" windowWidth="28800" windowHeight="12330"/>
  </bookViews>
  <sheets>
    <sheet name="Menú" sheetId="5" r:id="rId1"/>
    <sheet name="Alumnos" sheetId="1" r:id="rId2"/>
    <sheet name="Calificaciones" sheetId="2" r:id="rId3"/>
    <sheet name="Asistencia" sheetId="3" r:id="rId4"/>
    <sheet name="Boleta (Actual)" sheetId="4" r:id="rId5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kq3cVBhkObdrGcC5cmIgTXRP/zXwXT0uksbO18jDogc="/>
    </ext>
  </extLst>
</workbook>
</file>

<file path=xl/calcChain.xml><?xml version="1.0" encoding="utf-8"?>
<calcChain xmlns="http://schemas.openxmlformats.org/spreadsheetml/2006/main">
  <c r="C21" i="3" l="1"/>
  <c r="C21" i="4"/>
  <c r="C21" i="2"/>
  <c r="I154" i="4"/>
  <c r="H154" i="4"/>
  <c r="G154" i="4"/>
  <c r="F154" i="4"/>
  <c r="K152" i="4"/>
  <c r="K151" i="4"/>
  <c r="K150" i="4"/>
  <c r="C150" i="4"/>
  <c r="K149" i="4"/>
  <c r="K148" i="4"/>
  <c r="C148" i="4"/>
  <c r="K147" i="4"/>
  <c r="C147" i="4"/>
  <c r="I141" i="4"/>
  <c r="H141" i="4"/>
  <c r="G141" i="4"/>
  <c r="F141" i="4"/>
  <c r="K139" i="4"/>
  <c r="K138" i="4"/>
  <c r="K137" i="4"/>
  <c r="C137" i="4"/>
  <c r="K136" i="4"/>
  <c r="C136" i="4"/>
  <c r="K135" i="4"/>
  <c r="C135" i="4"/>
  <c r="K134" i="4"/>
  <c r="C134" i="4"/>
  <c r="I128" i="4"/>
  <c r="H128" i="4"/>
  <c r="G128" i="4"/>
  <c r="F128" i="4"/>
  <c r="K126" i="4"/>
  <c r="K125" i="4"/>
  <c r="K124" i="4"/>
  <c r="C124" i="4"/>
  <c r="K123" i="4"/>
  <c r="C123" i="4"/>
  <c r="K122" i="4"/>
  <c r="C122" i="4"/>
  <c r="K121" i="4"/>
  <c r="C121" i="4"/>
  <c r="I115" i="4"/>
  <c r="H115" i="4"/>
  <c r="G115" i="4"/>
  <c r="F115" i="4"/>
  <c r="K113" i="4"/>
  <c r="K112" i="4"/>
  <c r="K111" i="4"/>
  <c r="C111" i="4"/>
  <c r="K110" i="4"/>
  <c r="C110" i="4"/>
  <c r="K109" i="4"/>
  <c r="C109" i="4"/>
  <c r="K108" i="4"/>
  <c r="C108" i="4"/>
  <c r="I102" i="4"/>
  <c r="H102" i="4"/>
  <c r="G102" i="4"/>
  <c r="F102" i="4"/>
  <c r="K100" i="4"/>
  <c r="K99" i="4"/>
  <c r="K98" i="4"/>
  <c r="C98" i="4"/>
  <c r="K97" i="4"/>
  <c r="K96" i="4"/>
  <c r="C96" i="4"/>
  <c r="K95" i="4"/>
  <c r="C95" i="4"/>
  <c r="I89" i="4"/>
  <c r="H89" i="4"/>
  <c r="G89" i="4"/>
  <c r="F89" i="4"/>
  <c r="K87" i="4"/>
  <c r="K86" i="4"/>
  <c r="K85" i="4"/>
  <c r="C85" i="4"/>
  <c r="K84" i="4"/>
  <c r="K83" i="4"/>
  <c r="C83" i="4"/>
  <c r="K82" i="4"/>
  <c r="C82" i="4"/>
  <c r="I76" i="4"/>
  <c r="H76" i="4"/>
  <c r="G76" i="4"/>
  <c r="F76" i="4"/>
  <c r="K74" i="4"/>
  <c r="K73" i="4"/>
  <c r="K72" i="4"/>
  <c r="C72" i="4"/>
  <c r="K71" i="4"/>
  <c r="C71" i="4"/>
  <c r="K70" i="4"/>
  <c r="C70" i="4"/>
  <c r="K69" i="4"/>
  <c r="C69" i="4"/>
  <c r="I63" i="4"/>
  <c r="H63" i="4"/>
  <c r="G63" i="4"/>
  <c r="F63" i="4"/>
  <c r="K61" i="4"/>
  <c r="K60" i="4"/>
  <c r="K59" i="4"/>
  <c r="C59" i="4"/>
  <c r="K58" i="4"/>
  <c r="C58" i="4"/>
  <c r="K57" i="4"/>
  <c r="C57" i="4"/>
  <c r="K56" i="4"/>
  <c r="C56" i="4"/>
  <c r="I50" i="4"/>
  <c r="H50" i="4"/>
  <c r="G50" i="4"/>
  <c r="F50" i="4"/>
  <c r="K48" i="4"/>
  <c r="K47" i="4"/>
  <c r="K46" i="4"/>
  <c r="C46" i="4"/>
  <c r="K45" i="4"/>
  <c r="K44" i="4"/>
  <c r="C44" i="4"/>
  <c r="K43" i="4"/>
  <c r="C43" i="4"/>
  <c r="I37" i="4"/>
  <c r="H37" i="4"/>
  <c r="G37" i="4"/>
  <c r="F37" i="4"/>
  <c r="K35" i="4"/>
  <c r="K34" i="4"/>
  <c r="K33" i="4"/>
  <c r="C33" i="4"/>
  <c r="K32" i="4"/>
  <c r="K31" i="4"/>
  <c r="C31" i="4"/>
  <c r="K30" i="4"/>
  <c r="C30" i="4"/>
  <c r="I24" i="4"/>
  <c r="H24" i="4"/>
  <c r="G24" i="4"/>
  <c r="F24" i="4"/>
  <c r="K22" i="4"/>
  <c r="K21" i="4"/>
  <c r="K20" i="4"/>
  <c r="C20" i="4"/>
  <c r="K19" i="4"/>
  <c r="C19" i="4"/>
  <c r="K18" i="4"/>
  <c r="C18" i="4"/>
  <c r="K17" i="4"/>
  <c r="C17" i="4"/>
  <c r="I11" i="4"/>
  <c r="H11" i="4"/>
  <c r="G11" i="4"/>
  <c r="F11" i="4"/>
  <c r="K9" i="4"/>
  <c r="K8" i="4"/>
  <c r="K7" i="4"/>
  <c r="C7" i="4"/>
  <c r="K6" i="4"/>
  <c r="C6" i="4"/>
  <c r="K5" i="4"/>
  <c r="C5" i="4"/>
  <c r="K4" i="4"/>
  <c r="C4" i="4"/>
  <c r="S65" i="3"/>
  <c r="R65" i="3"/>
  <c r="C65" i="3"/>
  <c r="S64" i="3"/>
  <c r="R64" i="3"/>
  <c r="C64" i="3"/>
  <c r="S63" i="3"/>
  <c r="R63" i="3"/>
  <c r="C63" i="3"/>
  <c r="S62" i="3"/>
  <c r="R62" i="3"/>
  <c r="C62" i="3"/>
  <c r="S61" i="3"/>
  <c r="R61" i="3"/>
  <c r="C61" i="3"/>
  <c r="S60" i="3"/>
  <c r="R60" i="3"/>
  <c r="C60" i="3"/>
  <c r="S59" i="3"/>
  <c r="R59" i="3"/>
  <c r="C59" i="3"/>
  <c r="S58" i="3"/>
  <c r="R58" i="3"/>
  <c r="C58" i="3"/>
  <c r="S57" i="3"/>
  <c r="R57" i="3"/>
  <c r="C57" i="3"/>
  <c r="S56" i="3"/>
  <c r="R56" i="3"/>
  <c r="C56" i="3"/>
  <c r="S55" i="3"/>
  <c r="R55" i="3"/>
  <c r="C55" i="3"/>
  <c r="C49" i="3"/>
  <c r="S45" i="3"/>
  <c r="R45" i="3"/>
  <c r="C45" i="3"/>
  <c r="S44" i="3"/>
  <c r="R44" i="3"/>
  <c r="C44" i="3"/>
  <c r="S43" i="3"/>
  <c r="R43" i="3"/>
  <c r="C43" i="3"/>
  <c r="S42" i="3"/>
  <c r="R42" i="3"/>
  <c r="C42" i="3"/>
  <c r="S41" i="3"/>
  <c r="R41" i="3"/>
  <c r="C41" i="3"/>
  <c r="S40" i="3"/>
  <c r="R40" i="3"/>
  <c r="C40" i="3"/>
  <c r="S39" i="3"/>
  <c r="R39" i="3"/>
  <c r="C39" i="3"/>
  <c r="S38" i="3"/>
  <c r="R38" i="3"/>
  <c r="C38" i="3"/>
  <c r="S37" i="3"/>
  <c r="R37" i="3"/>
  <c r="C37" i="3"/>
  <c r="S36" i="3"/>
  <c r="R36" i="3"/>
  <c r="C36" i="3"/>
  <c r="S35" i="3"/>
  <c r="R35" i="3"/>
  <c r="C35" i="3"/>
  <c r="S34" i="3"/>
  <c r="R34" i="3"/>
  <c r="C34" i="3"/>
  <c r="S33" i="3"/>
  <c r="R33" i="3"/>
  <c r="C33" i="3"/>
  <c r="S32" i="3"/>
  <c r="R32" i="3"/>
  <c r="C32" i="3"/>
  <c r="C26" i="3"/>
  <c r="S20" i="3"/>
  <c r="R20" i="3"/>
  <c r="C20" i="3"/>
  <c r="S19" i="3"/>
  <c r="R19" i="3"/>
  <c r="C19" i="3"/>
  <c r="S18" i="3"/>
  <c r="R18" i="3"/>
  <c r="C18" i="3"/>
  <c r="S17" i="3"/>
  <c r="R17" i="3"/>
  <c r="C17" i="3"/>
  <c r="S16" i="3"/>
  <c r="R16" i="3"/>
  <c r="C16" i="3"/>
  <c r="S15" i="3"/>
  <c r="R15" i="3"/>
  <c r="C15" i="3"/>
  <c r="S14" i="3"/>
  <c r="R14" i="3"/>
  <c r="C14" i="3"/>
  <c r="S13" i="3"/>
  <c r="R13" i="3"/>
  <c r="C13" i="3"/>
  <c r="S12" i="3"/>
  <c r="R12" i="3"/>
  <c r="C12" i="3"/>
  <c r="S11" i="3"/>
  <c r="R11" i="3"/>
  <c r="C11" i="3"/>
  <c r="S10" i="3"/>
  <c r="R10" i="3"/>
  <c r="C10" i="3"/>
  <c r="S9" i="3"/>
  <c r="R9" i="3"/>
  <c r="C9" i="3"/>
  <c r="C3" i="3"/>
  <c r="J32" i="2"/>
  <c r="C32" i="2"/>
  <c r="J31" i="2"/>
  <c r="C31" i="2"/>
  <c r="J30" i="2"/>
  <c r="C30" i="2"/>
  <c r="U29" i="2"/>
  <c r="N29" i="2"/>
  <c r="J29" i="2"/>
  <c r="C29" i="2"/>
  <c r="U28" i="2"/>
  <c r="N28" i="2"/>
  <c r="J28" i="2"/>
  <c r="C28" i="2"/>
  <c r="U27" i="2"/>
  <c r="N27" i="2"/>
  <c r="J27" i="2"/>
  <c r="C27" i="2"/>
  <c r="U26" i="2"/>
  <c r="N26" i="2"/>
  <c r="J26" i="2"/>
  <c r="C26" i="2"/>
  <c r="U25" i="2"/>
  <c r="N25" i="2"/>
  <c r="J25" i="2"/>
  <c r="C25" i="2"/>
  <c r="U24" i="2"/>
  <c r="N24" i="2"/>
  <c r="J24" i="2"/>
  <c r="C24" i="2"/>
  <c r="U23" i="2"/>
  <c r="N23" i="2"/>
  <c r="J23" i="2"/>
  <c r="C23" i="2"/>
  <c r="U22" i="2"/>
  <c r="N22" i="2"/>
  <c r="J22" i="2"/>
  <c r="C22" i="2"/>
  <c r="U21" i="2"/>
  <c r="N21" i="2"/>
  <c r="J21" i="2"/>
  <c r="U20" i="2"/>
  <c r="N20" i="2"/>
  <c r="J20" i="2"/>
  <c r="C20" i="2"/>
  <c r="U19" i="2"/>
  <c r="N19" i="2"/>
  <c r="J19" i="2"/>
  <c r="C19" i="2"/>
  <c r="J15" i="2"/>
  <c r="C15" i="2"/>
  <c r="U14" i="2"/>
  <c r="N14" i="2"/>
  <c r="J14" i="2"/>
  <c r="C14" i="2"/>
  <c r="U13" i="2"/>
  <c r="N13" i="2"/>
  <c r="J13" i="2"/>
  <c r="C13" i="2"/>
  <c r="U12" i="2"/>
  <c r="N12" i="2"/>
  <c r="J12" i="2"/>
  <c r="C12" i="2"/>
  <c r="U11" i="2"/>
  <c r="N11" i="2"/>
  <c r="J11" i="2"/>
  <c r="C11" i="2"/>
  <c r="U10" i="2"/>
  <c r="N10" i="2"/>
  <c r="J10" i="2"/>
  <c r="C10" i="2"/>
  <c r="U9" i="2"/>
  <c r="N9" i="2"/>
  <c r="J9" i="2"/>
  <c r="C9" i="2"/>
  <c r="U8" i="2"/>
  <c r="N8" i="2"/>
  <c r="J8" i="2"/>
  <c r="C8" i="2"/>
  <c r="U7" i="2"/>
  <c r="N7" i="2"/>
  <c r="J7" i="2"/>
  <c r="C7" i="2"/>
  <c r="U6" i="2"/>
  <c r="N6" i="2"/>
  <c r="J6" i="2"/>
  <c r="C6" i="2"/>
  <c r="U5" i="2"/>
  <c r="N5" i="2"/>
  <c r="J5" i="2"/>
  <c r="C5" i="2"/>
  <c r="U4" i="2"/>
  <c r="N4" i="2"/>
  <c r="J4" i="2"/>
  <c r="C4" i="2"/>
  <c r="J40" i="1"/>
  <c r="C149" i="4" s="1"/>
  <c r="G40" i="1"/>
  <c r="J39" i="1"/>
  <c r="G39" i="1"/>
  <c r="J38" i="1"/>
  <c r="G38" i="1"/>
  <c r="J37" i="1"/>
  <c r="C97" i="4" s="1"/>
  <c r="G37" i="1"/>
  <c r="J36" i="1"/>
  <c r="C84" i="4" s="1"/>
  <c r="G36" i="1"/>
  <c r="J35" i="1"/>
  <c r="G35" i="1"/>
  <c r="J34" i="1"/>
  <c r="G34" i="1"/>
  <c r="J33" i="1"/>
  <c r="C45" i="4" s="1"/>
  <c r="G33" i="1"/>
  <c r="J32" i="1"/>
  <c r="C32" i="4" s="1"/>
  <c r="G32" i="1"/>
  <c r="J31" i="1"/>
  <c r="G31" i="1"/>
  <c r="J30" i="1"/>
  <c r="G30" i="1"/>
  <c r="J29" i="1"/>
  <c r="G29" i="1"/>
  <c r="J28" i="1"/>
  <c r="G28" i="1"/>
  <c r="J27" i="1"/>
  <c r="G27" i="1"/>
  <c r="J26" i="1"/>
  <c r="G26" i="1"/>
  <c r="J25" i="1"/>
  <c r="G25" i="1"/>
  <c r="J24" i="1"/>
  <c r="G24" i="1"/>
  <c r="J23" i="1"/>
  <c r="G23" i="1"/>
  <c r="J22" i="1"/>
  <c r="G22" i="1"/>
  <c r="J21" i="1"/>
  <c r="G21" i="1"/>
  <c r="J20" i="1"/>
  <c r="G20" i="1"/>
  <c r="J19" i="1"/>
  <c r="G19" i="1"/>
  <c r="J18" i="1"/>
  <c r="G18" i="1"/>
  <c r="J17" i="1"/>
  <c r="G17" i="1"/>
  <c r="J16" i="1"/>
  <c r="G16" i="1"/>
  <c r="J15" i="1"/>
  <c r="G15" i="1"/>
  <c r="J14" i="1"/>
  <c r="G14" i="1"/>
  <c r="J13" i="1"/>
  <c r="G13" i="1"/>
  <c r="J12" i="1"/>
  <c r="G12" i="1"/>
  <c r="J11" i="1"/>
  <c r="G11" i="1"/>
  <c r="J10" i="1"/>
  <c r="G10" i="1"/>
  <c r="J9" i="1"/>
  <c r="G9" i="1"/>
  <c r="J8" i="1"/>
  <c r="G8" i="1"/>
  <c r="J7" i="1"/>
  <c r="G7" i="1"/>
  <c r="J6" i="1"/>
  <c r="G6" i="1"/>
  <c r="J5" i="1"/>
  <c r="G5" i="1"/>
  <c r="J4" i="1"/>
  <c r="G4" i="1"/>
</calcChain>
</file>

<file path=xl/sharedStrings.xml><?xml version="1.0" encoding="utf-8"?>
<sst xmlns="http://schemas.openxmlformats.org/spreadsheetml/2006/main" count="982" uniqueCount="161">
  <si>
    <t>Lista de todos los Alumnos</t>
  </si>
  <si>
    <t>Código</t>
  </si>
  <si>
    <t>Apellido Paterno</t>
  </si>
  <si>
    <t>Apellido Materno</t>
  </si>
  <si>
    <t>Nombre</t>
  </si>
  <si>
    <t>Fecha de nacimiento</t>
  </si>
  <si>
    <t>Edad</t>
  </si>
  <si>
    <t>Dirección</t>
  </si>
  <si>
    <t>Grado</t>
  </si>
  <si>
    <t>Grupo</t>
  </si>
  <si>
    <t>Tutor</t>
  </si>
  <si>
    <t>Moreno</t>
  </si>
  <si>
    <t>Valencia</t>
  </si>
  <si>
    <t>Juan</t>
  </si>
  <si>
    <t>Avenida de la Libertad 78</t>
  </si>
  <si>
    <t>Perez Cosio Juan Roman</t>
  </si>
  <si>
    <t>Santos</t>
  </si>
  <si>
    <t>Vargas</t>
  </si>
  <si>
    <t>Valentina</t>
  </si>
  <si>
    <t>Calle de la Fuente 56</t>
  </si>
  <si>
    <t>Valenzuela</t>
  </si>
  <si>
    <t>Pérez</t>
  </si>
  <si>
    <t>Victor Juan</t>
  </si>
  <si>
    <t>Avenida de las flores 21</t>
  </si>
  <si>
    <t>Gutiérrez</t>
  </si>
  <si>
    <t>Mendoza</t>
  </si>
  <si>
    <t>Felipe</t>
  </si>
  <si>
    <t>Plaza del Ayuntamiento 90</t>
  </si>
  <si>
    <t>Torres</t>
  </si>
  <si>
    <t>Fernández</t>
  </si>
  <si>
    <t>Martin</t>
  </si>
  <si>
    <t>Calle Manzano 87</t>
  </si>
  <si>
    <t>Delgado</t>
  </si>
  <si>
    <t>Monica Angelica</t>
  </si>
  <si>
    <t>Calle Arboleda del pinar 89</t>
  </si>
  <si>
    <t>Ana Sofia</t>
  </si>
  <si>
    <t>Calle Armador 98</t>
  </si>
  <si>
    <t>Martínez</t>
  </si>
  <si>
    <t>Suárez</t>
  </si>
  <si>
    <t>Sofia</t>
  </si>
  <si>
    <t>Calle del Pino 43</t>
  </si>
  <si>
    <t>Cabrera</t>
  </si>
  <si>
    <t>Maria</t>
  </si>
  <si>
    <t>Avenida el pueblito 343</t>
  </si>
  <si>
    <t>Rojas</t>
  </si>
  <si>
    <t>Castillo</t>
  </si>
  <si>
    <t>Daniela</t>
  </si>
  <si>
    <t>Avenida de la Paz 43</t>
  </si>
  <si>
    <t>González</t>
  </si>
  <si>
    <t>Esteban</t>
  </si>
  <si>
    <t>Calle Buenos Aires 98</t>
  </si>
  <si>
    <t>Salazar</t>
  </si>
  <si>
    <t>Javier Jesús</t>
  </si>
  <si>
    <t>Avenida de la Playa 78</t>
  </si>
  <si>
    <t>Silva</t>
  </si>
  <si>
    <t>Ricardo</t>
  </si>
  <si>
    <t>Andador del bosque 98</t>
  </si>
  <si>
    <t>Gomez Cortes Jaime</t>
  </si>
  <si>
    <t>Chávez</t>
  </si>
  <si>
    <t>Camila</t>
  </si>
  <si>
    <t>Plaza del Sol 21</t>
  </si>
  <si>
    <t>Vásquez</t>
  </si>
  <si>
    <t>Paula</t>
  </si>
  <si>
    <t>Calle del Cielo 65</t>
  </si>
  <si>
    <t>Peralta</t>
  </si>
  <si>
    <t>Isabella</t>
  </si>
  <si>
    <t>Avenida de los olivos 43</t>
  </si>
  <si>
    <t>Reyes</t>
  </si>
  <si>
    <t>López</t>
  </si>
  <si>
    <t>Francisco Alberto</t>
  </si>
  <si>
    <t>Calle del Olivo 21</t>
  </si>
  <si>
    <t>Jiménez</t>
  </si>
  <si>
    <t>Diana Carla</t>
  </si>
  <si>
    <t>Andador el limonero 430</t>
  </si>
  <si>
    <t>Morales</t>
  </si>
  <si>
    <t>Romero</t>
  </si>
  <si>
    <t>Ana</t>
  </si>
  <si>
    <t>Privada el pinar 78</t>
  </si>
  <si>
    <t>Aguilar</t>
  </si>
  <si>
    <t>Victor</t>
  </si>
  <si>
    <t>Privada el sol 1</t>
  </si>
  <si>
    <t>Álvarez</t>
  </si>
  <si>
    <t>Lucia</t>
  </si>
  <si>
    <t>Calle de la Fuente 87</t>
  </si>
  <si>
    <t>Vega</t>
  </si>
  <si>
    <t>Carmen María</t>
  </si>
  <si>
    <t>Calle el refugio 98</t>
  </si>
  <si>
    <t>Elena Natalia</t>
  </si>
  <si>
    <t>Avenida de la Playa 32</t>
  </si>
  <si>
    <t>Cruz</t>
  </si>
  <si>
    <t>Paseo de la Primavera 65</t>
  </si>
  <si>
    <t>Rodríguez</t>
  </si>
  <si>
    <t>Ibarra</t>
  </si>
  <si>
    <t>Juan Felipe</t>
  </si>
  <si>
    <t>Andador Revolución 1</t>
  </si>
  <si>
    <t>Campos</t>
  </si>
  <si>
    <t>Gómez</t>
  </si>
  <si>
    <t>Sara</t>
  </si>
  <si>
    <t>Avenida de la Fuente 789</t>
  </si>
  <si>
    <t>Escobar</t>
  </si>
  <si>
    <t>Pineda</t>
  </si>
  <si>
    <t>Miguel Luis</t>
  </si>
  <si>
    <t>Calle de la Fuente 45</t>
  </si>
  <si>
    <t>Vasquez</t>
  </si>
  <si>
    <t>Luna Juana</t>
  </si>
  <si>
    <t>Calle del Prete 23</t>
  </si>
  <si>
    <t>Julia</t>
  </si>
  <si>
    <t>Calle de la Libertad 234</t>
  </si>
  <si>
    <t>Perez</t>
  </si>
  <si>
    <t>Calle Bogota 456</t>
  </si>
  <si>
    <t>Garcia</t>
  </si>
  <si>
    <t>Roberto</t>
  </si>
  <si>
    <t>Avenida Revolucion 78</t>
  </si>
  <si>
    <t>Plaza de la bandera 456</t>
  </si>
  <si>
    <t>Raquel Sofia</t>
  </si>
  <si>
    <t>Calle naranjo 234</t>
  </si>
  <si>
    <t>Herrera</t>
  </si>
  <si>
    <t>Flores</t>
  </si>
  <si>
    <t>Daniela Noemi</t>
  </si>
  <si>
    <t>Privada el pedregal 13</t>
  </si>
  <si>
    <t>Calle Constitución 18</t>
  </si>
  <si>
    <t>Alvaréz</t>
  </si>
  <si>
    <t>Julian</t>
  </si>
  <si>
    <t>Calle volcan 13</t>
  </si>
  <si>
    <t>Cardenas</t>
  </si>
  <si>
    <t>Cadena</t>
  </si>
  <si>
    <t>Noemi Marisol</t>
  </si>
  <si>
    <t>Privada el Coli 25</t>
  </si>
  <si>
    <t>Calificaciones Historicas</t>
  </si>
  <si>
    <t>Grado 1°A</t>
  </si>
  <si>
    <t>Grado 1°B</t>
  </si>
  <si>
    <t>Español</t>
  </si>
  <si>
    <t>Matemáticas</t>
  </si>
  <si>
    <t>Historia</t>
  </si>
  <si>
    <t>Geografía</t>
  </si>
  <si>
    <t>Biología</t>
  </si>
  <si>
    <t>Ingles</t>
  </si>
  <si>
    <t>Promedio</t>
  </si>
  <si>
    <t>Grado 2°B</t>
  </si>
  <si>
    <t>Asistencia</t>
  </si>
  <si>
    <t>°</t>
  </si>
  <si>
    <t>Falta</t>
  </si>
  <si>
    <t>/</t>
  </si>
  <si>
    <t>Enero</t>
  </si>
  <si>
    <t>Asistencias</t>
  </si>
  <si>
    <t>Faltas</t>
  </si>
  <si>
    <t>Semana 1</t>
  </si>
  <si>
    <t>Semana 2</t>
  </si>
  <si>
    <t>Semana 3</t>
  </si>
  <si>
    <t>J</t>
  </si>
  <si>
    <t>V</t>
  </si>
  <si>
    <t>L</t>
  </si>
  <si>
    <t>M</t>
  </si>
  <si>
    <t>Mi</t>
  </si>
  <si>
    <t>Asignaturas</t>
  </si>
  <si>
    <t>Bimestres</t>
  </si>
  <si>
    <t>I</t>
  </si>
  <si>
    <t>II</t>
  </si>
  <si>
    <t>III</t>
  </si>
  <si>
    <t>IV</t>
  </si>
  <si>
    <t>Inglés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</si>
</sst>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00"/>
    <numFmt numFmtId="165" formatCode="dd/mmm/yyyy"/>
    <numFmt numFmtId="166" formatCode="0&quot;°&quot;"/>
    <numFmt numFmtId="167" formatCode="0&quot;°&quot;?"/>
    <numFmt numFmtId="168" formatCode="d/m/yyyy"/>
    <numFmt numFmtId="169" formatCode="0.0"/>
    <numFmt numFmtId="170" formatCode="00#"/>
  </numFmts>
  <fonts count="11">
    <font>
      <sz val="12"/>
      <color theme="1"/>
      <name val="Aptos Narrow"/>
      <scheme val="minor"/>
    </font>
    <font>
      <b/>
      <sz val="22"/>
      <color theme="0"/>
      <name val="Aptos Narrow"/>
    </font>
    <font>
      <sz val="12"/>
      <name val="Aptos Narrow"/>
    </font>
    <font>
      <b/>
      <sz val="14"/>
      <color theme="0"/>
      <name val="Aptos Narrow"/>
    </font>
    <font>
      <sz val="12"/>
      <color theme="1"/>
      <name val="Aptos Narrow"/>
    </font>
    <font>
      <b/>
      <sz val="12"/>
      <color theme="0"/>
      <name val="Aptos Narrow"/>
    </font>
    <font>
      <b/>
      <sz val="12"/>
      <color theme="1"/>
      <name val="Aptos Narrow"/>
    </font>
    <font>
      <b/>
      <sz val="16"/>
      <color theme="0"/>
      <name val="Aptos Narrow"/>
    </font>
    <font>
      <b/>
      <sz val="12"/>
      <color rgb="FF3A7D22"/>
      <name val="Aptos Narrow"/>
    </font>
    <font>
      <b/>
      <sz val="12"/>
      <color rgb="FFFF0000"/>
      <name val="Aptos Narrow"/>
    </font>
    <font>
      <u/>
      <sz val="12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275317"/>
        <bgColor rgb="FF275317"/>
      </patternFill>
    </fill>
    <fill>
      <patternFill patternType="solid">
        <fgColor rgb="FF669900"/>
        <bgColor rgb="FF669900"/>
      </patternFill>
    </fill>
    <fill>
      <patternFill patternType="solid">
        <fgColor rgb="FFE8E8E8"/>
        <bgColor rgb="FFE8E8E8"/>
      </patternFill>
    </fill>
    <fill>
      <patternFill patternType="solid">
        <fgColor rgb="FFDBE9F7"/>
        <bgColor rgb="FFDBE9F7"/>
      </patternFill>
    </fill>
    <fill>
      <patternFill patternType="solid">
        <fgColor rgb="FFF1CEEE"/>
        <bgColor rgb="FFF1CEEE"/>
      </patternFill>
    </fill>
    <fill>
      <patternFill patternType="solid">
        <fgColor rgb="FFFFD889"/>
        <bgColor rgb="FFFFD889"/>
      </patternFill>
    </fill>
    <fill>
      <patternFill patternType="solid">
        <fgColor rgb="FF595959"/>
        <bgColor rgb="FF595959"/>
      </patternFill>
    </fill>
    <fill>
      <patternFill patternType="solid">
        <fgColor rgb="FF006699"/>
        <bgColor rgb="FF006699"/>
      </patternFill>
    </fill>
    <fill>
      <patternFill patternType="solid">
        <fgColor rgb="FFFF9900"/>
        <bgColor rgb="FFFF9900"/>
      </patternFill>
    </fill>
    <fill>
      <patternFill patternType="solid">
        <fgColor rgb="FFF2F2F2"/>
        <bgColor rgb="FFF2F2F2"/>
      </patternFill>
    </fill>
    <fill>
      <patternFill patternType="solid">
        <fgColor rgb="FFD0D0D0"/>
        <bgColor rgb="FFD0D0D0"/>
      </patternFill>
    </fill>
    <fill>
      <patternFill patternType="solid">
        <fgColor rgb="FFD8D8D8"/>
        <bgColor rgb="FFD8D8D8"/>
      </patternFill>
    </fill>
    <fill>
      <patternFill patternType="solid">
        <fgColor rgb="FF660066"/>
        <bgColor rgb="FF660066"/>
      </patternFill>
    </fill>
    <fill>
      <patternFill patternType="solid">
        <fgColor rgb="FFECCBF9"/>
        <bgColor rgb="FFECCBF9"/>
      </patternFill>
    </fill>
    <fill>
      <patternFill patternType="solid">
        <fgColor rgb="FF7F7F7F"/>
        <bgColor rgb="FF7F7F7F"/>
      </patternFill>
    </fill>
    <fill>
      <patternFill patternType="solid">
        <fgColor rgb="FFA5A5A5"/>
        <bgColor rgb="FFA5A5A5"/>
      </patternFill>
    </fill>
    <fill>
      <patternFill patternType="solid">
        <fgColor rgb="FF0B769F"/>
        <bgColor rgb="FF0B769F"/>
      </patternFill>
    </fill>
    <fill>
      <patternFill patternType="solid">
        <fgColor rgb="FF7030A0"/>
        <bgColor rgb="FF7030A0"/>
      </patternFill>
    </fill>
    <fill>
      <patternFill patternType="solid">
        <fgColor rgb="FFBFBFBF"/>
        <bgColor rgb="FFBFBFBF"/>
      </patternFill>
    </fill>
  </fills>
  <borders count="2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 style="thin">
        <color rgb="FF000000"/>
      </left>
      <right style="thin">
        <color rgb="FF000000"/>
      </right>
      <top style="thin">
        <color rgb="FFC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164" fontId="4" fillId="4" borderId="5" xfId="0" applyNumberFormat="1" applyFont="1" applyFill="1" applyBorder="1" applyAlignment="1">
      <alignment horizontal="center"/>
    </xf>
    <xf numFmtId="0" fontId="4" fillId="0" borderId="5" xfId="0" applyFont="1" applyBorder="1"/>
    <xf numFmtId="165" fontId="4" fillId="0" borderId="5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66" fontId="4" fillId="5" borderId="5" xfId="0" applyNumberFormat="1" applyFont="1" applyFill="1" applyBorder="1" applyAlignment="1">
      <alignment horizontal="center"/>
    </xf>
    <xf numFmtId="167" fontId="4" fillId="5" borderId="5" xfId="0" applyNumberFormat="1" applyFont="1" applyFill="1" applyBorder="1" applyAlignment="1">
      <alignment horizontal="center"/>
    </xf>
    <xf numFmtId="168" fontId="4" fillId="0" borderId="0" xfId="0" applyNumberFormat="1" applyFont="1"/>
    <xf numFmtId="166" fontId="4" fillId="6" borderId="5" xfId="0" applyNumberFormat="1" applyFont="1" applyFill="1" applyBorder="1" applyAlignment="1">
      <alignment horizontal="center"/>
    </xf>
    <xf numFmtId="167" fontId="4" fillId="6" borderId="5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167" fontId="4" fillId="7" borderId="5" xfId="0" applyNumberFormat="1" applyFont="1" applyFill="1" applyBorder="1" applyAlignment="1">
      <alignment horizontal="center"/>
    </xf>
    <xf numFmtId="164" fontId="4" fillId="4" borderId="6" xfId="0" applyNumberFormat="1" applyFont="1" applyFill="1" applyBorder="1" applyAlignment="1">
      <alignment horizontal="center"/>
    </xf>
    <xf numFmtId="0" fontId="4" fillId="0" borderId="6" xfId="0" applyFont="1" applyBorder="1"/>
    <xf numFmtId="165" fontId="4" fillId="0" borderId="6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5" borderId="11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vertical="center"/>
    </xf>
    <xf numFmtId="0" fontId="6" fillId="5" borderId="11" xfId="0" applyFont="1" applyFill="1" applyBorder="1" applyAlignment="1">
      <alignment horizontal="center" vertical="center" textRotation="90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vertical="center"/>
    </xf>
    <xf numFmtId="0" fontId="6" fillId="7" borderId="11" xfId="0" applyFont="1" applyFill="1" applyBorder="1" applyAlignment="1">
      <alignment horizontal="center" vertical="center" textRotation="90"/>
    </xf>
    <xf numFmtId="164" fontId="4" fillId="11" borderId="11" xfId="0" applyNumberFormat="1" applyFont="1" applyFill="1" applyBorder="1" applyAlignment="1">
      <alignment horizontal="center"/>
    </xf>
    <xf numFmtId="0" fontId="4" fillId="0" borderId="11" xfId="0" applyFont="1" applyBorder="1"/>
    <xf numFmtId="0" fontId="4" fillId="0" borderId="11" xfId="0" applyFont="1" applyBorder="1" applyAlignment="1">
      <alignment horizontal="center"/>
    </xf>
    <xf numFmtId="169" fontId="6" fillId="12" borderId="11" xfId="0" applyNumberFormat="1" applyFont="1" applyFill="1" applyBorder="1" applyAlignment="1">
      <alignment horizontal="center"/>
    </xf>
    <xf numFmtId="169" fontId="6" fillId="13" borderId="11" xfId="0" applyNumberFormat="1" applyFont="1" applyFill="1" applyBorder="1" applyAlignment="1">
      <alignment horizontal="center"/>
    </xf>
    <xf numFmtId="0" fontId="6" fillId="15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vertical="center"/>
    </xf>
    <xf numFmtId="0" fontId="6" fillId="15" borderId="11" xfId="0" applyFont="1" applyFill="1" applyBorder="1" applyAlignment="1">
      <alignment horizontal="center" vertical="center" textRotation="90"/>
    </xf>
    <xf numFmtId="169" fontId="4" fillId="13" borderId="11" xfId="0" applyNumberFormat="1" applyFont="1" applyFill="1" applyBorder="1" applyAlignment="1">
      <alignment horizontal="center"/>
    </xf>
    <xf numFmtId="0" fontId="5" fillId="9" borderId="12" xfId="0" applyFont="1" applyFill="1" applyBorder="1" applyAlignment="1">
      <alignment horizontal="center"/>
    </xf>
    <xf numFmtId="166" fontId="6" fillId="5" borderId="11" xfId="0" applyNumberFormat="1" applyFont="1" applyFill="1" applyBorder="1" applyAlignment="1">
      <alignment horizontal="center"/>
    </xf>
    <xf numFmtId="0" fontId="5" fillId="16" borderId="11" xfId="0" applyFont="1" applyFill="1" applyBorder="1"/>
    <xf numFmtId="0" fontId="6" fillId="0" borderId="11" xfId="0" applyFont="1" applyBorder="1" applyAlignment="1">
      <alignment horizontal="center" vertical="center"/>
    </xf>
    <xf numFmtId="167" fontId="6" fillId="5" borderId="11" xfId="0" applyNumberFormat="1" applyFont="1" applyFill="1" applyBorder="1" applyAlignment="1">
      <alignment horizontal="center"/>
    </xf>
    <xf numFmtId="0" fontId="4" fillId="13" borderId="11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64" fontId="4" fillId="11" borderId="26" xfId="0" applyNumberFormat="1" applyFont="1" applyFill="1" applyBorder="1" applyAlignment="1">
      <alignment horizontal="center"/>
    </xf>
    <xf numFmtId="164" fontId="4" fillId="0" borderId="0" xfId="0" applyNumberFormat="1" applyFont="1"/>
    <xf numFmtId="0" fontId="5" fillId="19" borderId="11" xfId="0" applyFont="1" applyFill="1" applyBorder="1" applyAlignment="1">
      <alignment horizontal="center"/>
    </xf>
    <xf numFmtId="166" fontId="6" fillId="15" borderId="11" xfId="0" applyNumberFormat="1" applyFont="1" applyFill="1" applyBorder="1" applyAlignment="1">
      <alignment horizontal="center"/>
    </xf>
    <xf numFmtId="167" fontId="6" fillId="15" borderId="11" xfId="0" applyNumberFormat="1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166" fontId="6" fillId="7" borderId="11" xfId="0" applyNumberFormat="1" applyFont="1" applyFill="1" applyBorder="1" applyAlignment="1">
      <alignment horizontal="center"/>
    </xf>
    <xf numFmtId="167" fontId="6" fillId="7" borderId="1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6" fillId="20" borderId="11" xfId="0" applyFont="1" applyFill="1" applyBorder="1" applyAlignment="1">
      <alignment horizontal="center" vertical="center"/>
    </xf>
    <xf numFmtId="170" fontId="4" fillId="0" borderId="11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11" borderId="11" xfId="0" applyFont="1" applyFill="1" applyBorder="1" applyAlignment="1">
      <alignment horizontal="center"/>
    </xf>
    <xf numFmtId="0" fontId="6" fillId="20" borderId="11" xfId="0" applyFont="1" applyFill="1" applyBorder="1" applyAlignment="1">
      <alignment horizontal="center" vertical="center" wrapText="1"/>
    </xf>
    <xf numFmtId="0" fontId="4" fillId="11" borderId="11" xfId="0" applyFont="1" applyFill="1" applyBorder="1"/>
    <xf numFmtId="2" fontId="6" fillId="0" borderId="11" xfId="0" applyNumberFormat="1" applyFont="1" applyBorder="1" applyAlignment="1">
      <alignment horizontal="center"/>
    </xf>
    <xf numFmtId="166" fontId="4" fillId="7" borderId="11" xfId="0" applyNumberFormat="1" applyFont="1" applyFill="1" applyBorder="1" applyAlignment="1">
      <alignment horizontal="center"/>
    </xf>
    <xf numFmtId="167" fontId="4" fillId="7" borderId="1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169" fontId="6" fillId="0" borderId="11" xfId="0" applyNumberFormat="1" applyFont="1" applyBorder="1" applyAlignment="1">
      <alignment horizontal="center"/>
    </xf>
    <xf numFmtId="0" fontId="10" fillId="0" borderId="0" xfId="0" applyFont="1"/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5" fillId="8" borderId="1" xfId="0" applyFont="1" applyFill="1" applyBorder="1" applyAlignment="1">
      <alignment horizontal="center"/>
    </xf>
    <xf numFmtId="0" fontId="2" fillId="0" borderId="7" xfId="0" applyFont="1" applyBorder="1"/>
    <xf numFmtId="0" fontId="5" fillId="9" borderId="8" xfId="0" applyFont="1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5" fillId="10" borderId="8" xfId="0" applyFont="1" applyFill="1" applyBorder="1" applyAlignment="1">
      <alignment horizontal="center"/>
    </xf>
    <xf numFmtId="0" fontId="5" fillId="14" borderId="8" xfId="0" applyFont="1" applyFill="1" applyBorder="1" applyAlignment="1">
      <alignment horizontal="center"/>
    </xf>
    <xf numFmtId="0" fontId="6" fillId="17" borderId="13" xfId="0" applyFont="1" applyFill="1" applyBorder="1" applyAlignment="1">
      <alignment horizontal="center" vertical="center"/>
    </xf>
    <xf numFmtId="0" fontId="2" fillId="0" borderId="17" xfId="0" applyFont="1" applyBorder="1"/>
    <xf numFmtId="0" fontId="2" fillId="0" borderId="20" xfId="0" applyFont="1" applyBorder="1"/>
    <xf numFmtId="0" fontId="7" fillId="18" borderId="8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 textRotation="90"/>
    </xf>
    <xf numFmtId="0" fontId="9" fillId="11" borderId="13" xfId="0" applyFont="1" applyFill="1" applyBorder="1" applyAlignment="1">
      <alignment horizontal="center" vertical="center" textRotation="90"/>
    </xf>
    <xf numFmtId="0" fontId="6" fillId="17" borderId="8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6" fillId="17" borderId="14" xfId="0" applyFont="1" applyFill="1" applyBorder="1" applyAlignment="1">
      <alignment horizontal="center" vertical="center"/>
    </xf>
    <xf numFmtId="0" fontId="2" fillId="0" borderId="15" xfId="0" applyFont="1" applyBorder="1"/>
    <xf numFmtId="0" fontId="2" fillId="0" borderId="16" xfId="0" applyFont="1" applyBorder="1"/>
    <xf numFmtId="0" fontId="2" fillId="0" borderId="18" xfId="0" applyFont="1" applyBorder="1"/>
    <xf numFmtId="0" fontId="0" fillId="0" borderId="0" xfId="0"/>
    <xf numFmtId="0" fontId="2" fillId="0" borderId="19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4" fillId="0" borderId="0" xfId="0" applyFont="1" applyAlignment="1">
      <alignment horizontal="center" vertical="center"/>
    </xf>
    <xf numFmtId="0" fontId="6" fillId="20" borderId="13" xfId="0" applyFont="1" applyFill="1" applyBorder="1" applyAlignment="1">
      <alignment horizontal="center" vertical="center" wrapText="1"/>
    </xf>
    <xf numFmtId="0" fontId="6" fillId="20" borderId="8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A12B93"/>
      <color rgb="FF67BF63"/>
      <color rgb="FFF28F38"/>
      <color rgb="FFF26363"/>
      <color rgb="FF4BBFB4"/>
      <color rgb="FF8A54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s://webquestlas4internautas.blogspot.com/p/creditos.html" TargetMode="External"/><Relationship Id="rId1" Type="http://schemas.openxmlformats.org/officeDocument/2006/relationships/image" Target="../media/image1.jpg"/><Relationship Id="rId6" Type="http://schemas.openxmlformats.org/officeDocument/2006/relationships/image" Target="../media/image5.svg"/><Relationship Id="rId5" Type="http://schemas.openxmlformats.org/officeDocument/2006/relationships/image" Target="../media/image3.png"/><Relationship Id="rId10" Type="http://schemas.openxmlformats.org/officeDocument/2006/relationships/image" Target="../media/image9.svg"/><Relationship Id="rId4" Type="http://schemas.openxmlformats.org/officeDocument/2006/relationships/image" Target="../media/image3.sv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sv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sv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567563</xdr:colOff>
      <xdr:row>3</xdr:row>
      <xdr:rowOff>65275</xdr:rowOff>
    </xdr:from>
    <xdr:to>
      <xdr:col>9</xdr:col>
      <xdr:colOff>39172</xdr:colOff>
      <xdr:row>30</xdr:row>
      <xdr:rowOff>6186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241654" y="671411"/>
          <a:ext cx="5330927" cy="5396139"/>
        </a:xfrm>
        <a:prstGeom prst="roundRect">
          <a:avLst/>
        </a:prstGeom>
        <a:solidFill>
          <a:schemeClr val="bg2">
            <a:lumMod val="9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61928</xdr:colOff>
      <xdr:row>18</xdr:row>
      <xdr:rowOff>170512</xdr:rowOff>
    </xdr:from>
    <xdr:to>
      <xdr:col>6</xdr:col>
      <xdr:colOff>191447</xdr:colOff>
      <xdr:row>29</xdr:row>
      <xdr:rowOff>753</xdr:rowOff>
    </xdr:to>
    <xdr:pic macro="[0]!Ir_Asistencia"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2"/>
            </a:ext>
          </a:extLst>
        </a:blip>
        <a:stretch>
          <a:fillRect/>
        </a:stretch>
      </xdr:blipFill>
      <xdr:spPr>
        <a:xfrm>
          <a:off x="3410110" y="3807330"/>
          <a:ext cx="1803610" cy="2052741"/>
        </a:xfrm>
        <a:prstGeom prst="rect">
          <a:avLst/>
        </a:prstGeom>
      </xdr:spPr>
    </xdr:pic>
    <xdr:clientData/>
  </xdr:twoCellAnchor>
  <xdr:twoCellAnchor>
    <xdr:from>
      <xdr:col>3</xdr:col>
      <xdr:colOff>627726</xdr:colOff>
      <xdr:row>3</xdr:row>
      <xdr:rowOff>106852</xdr:rowOff>
    </xdr:from>
    <xdr:to>
      <xdr:col>7</xdr:col>
      <xdr:colOff>412335</xdr:colOff>
      <xdr:row>6</xdr:row>
      <xdr:rowOff>190348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138862" y="712988"/>
          <a:ext cx="3132791" cy="6896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4800">
              <a:solidFill>
                <a:srgbClr val="A12B93"/>
              </a:solidFill>
              <a:latin typeface="ADLaM Display" panose="020F0502020204030204" pitchFamily="2" charset="0"/>
              <a:ea typeface="ADLaM Display" panose="020F0502020204030204" pitchFamily="2" charset="0"/>
              <a:cs typeface="ADLaM Display" panose="020F0502020204030204" pitchFamily="2" charset="0"/>
            </a:rPr>
            <a:t>MENÚ</a:t>
          </a:r>
        </a:p>
      </xdr:txBody>
    </xdr:sp>
    <xdr:clientData/>
  </xdr:twoCellAnchor>
  <xdr:twoCellAnchor>
    <xdr:from>
      <xdr:col>2</xdr:col>
      <xdr:colOff>744303</xdr:colOff>
      <xdr:row>13</xdr:row>
      <xdr:rowOff>33806</xdr:rowOff>
    </xdr:from>
    <xdr:to>
      <xdr:col>5</xdr:col>
      <xdr:colOff>499534</xdr:colOff>
      <xdr:row>17</xdr:row>
      <xdr:rowOff>44819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2732129" y="2510306"/>
          <a:ext cx="2736970" cy="773013"/>
          <a:chOff x="7328790" y="2365237"/>
          <a:chExt cx="2220478" cy="812587"/>
        </a:xfrm>
      </xdr:grpSpPr>
      <xdr:sp macro="[0]!Ir_Asistencia" textlink="">
        <xdr:nvSpPr>
          <xdr:cNvPr id="16" name="Rectángulo: esquinas redondeadas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7339254" y="2365237"/>
            <a:ext cx="2210014" cy="812587"/>
          </a:xfrm>
          <a:prstGeom prst="roundRect">
            <a:avLst/>
          </a:prstGeom>
          <a:solidFill>
            <a:srgbClr val="F28F38"/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2400">
                <a:solidFill>
                  <a:schemeClr val="bg1"/>
                </a:solidFill>
                <a:latin typeface="Bahnschrift" panose="020B0502040204020203" pitchFamily="34" charset="0"/>
                <a:ea typeface="ADLaM Display" panose="02010000000000000000" pitchFamily="2" charset="0"/>
                <a:cs typeface="ADLaM Display" panose="02010000000000000000" pitchFamily="2" charset="0"/>
              </a:rPr>
              <a:t>Asistencia</a:t>
            </a:r>
          </a:p>
        </xdr:txBody>
      </xdr:sp>
      <xdr:pic>
        <xdr:nvPicPr>
          <xdr:cNvPr id="20" name="Gráfico 19" descr="Calendario con relleno sólido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7328790" y="2402484"/>
            <a:ext cx="708125" cy="70812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759138</xdr:colOff>
      <xdr:row>8</xdr:row>
      <xdr:rowOff>48739</xdr:rowOff>
    </xdr:from>
    <xdr:to>
      <xdr:col>8</xdr:col>
      <xdr:colOff>662300</xdr:colOff>
      <xdr:row>12</xdr:row>
      <xdr:rowOff>59754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728703" y="1572739"/>
          <a:ext cx="2884901" cy="773015"/>
          <a:chOff x="9830780" y="1373725"/>
          <a:chExt cx="2420271" cy="810044"/>
        </a:xfrm>
      </xdr:grpSpPr>
      <xdr:sp macro="[0]!Ir_Calificaciones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9830780" y="1373725"/>
            <a:ext cx="2420271" cy="810044"/>
          </a:xfrm>
          <a:prstGeom prst="roundRect">
            <a:avLst/>
          </a:prstGeom>
          <a:solidFill>
            <a:srgbClr val="F26363"/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s-MX" sz="2000">
                <a:solidFill>
                  <a:schemeClr val="bg1"/>
                </a:solidFill>
                <a:latin typeface="Bahnschrift" panose="020B0502040204020203" pitchFamily="34" charset="0"/>
                <a:ea typeface="ADLaM Display" panose="02010000000000000000" pitchFamily="2" charset="0"/>
                <a:cs typeface="ADLaM Display" panose="02010000000000000000" pitchFamily="2" charset="0"/>
              </a:rPr>
              <a:t>Calificaciones</a:t>
            </a:r>
            <a:endParaRPr lang="es-MX" sz="2400">
              <a:solidFill>
                <a:schemeClr val="bg1"/>
              </a:solidFill>
              <a:latin typeface="Bahnschrift" panose="020B0502040204020203" pitchFamily="34" charset="0"/>
              <a:ea typeface="ADLaM Display" panose="02010000000000000000" pitchFamily="2" charset="0"/>
              <a:cs typeface="ADLaM Display" panose="02010000000000000000" pitchFamily="2" charset="0"/>
            </a:endParaRPr>
          </a:p>
        </xdr:txBody>
      </xdr:sp>
      <xdr:pic macro="[0]!Ir_Calificaciones">
        <xdr:nvPicPr>
          <xdr:cNvPr id="24" name="Gráfico 23" descr="Portapapeles comprobado con relleno sólid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9844464" y="1391049"/>
            <a:ext cx="752471" cy="74868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739719</xdr:colOff>
      <xdr:row>13</xdr:row>
      <xdr:rowOff>34179</xdr:rowOff>
    </xdr:from>
    <xdr:to>
      <xdr:col>8</xdr:col>
      <xdr:colOff>678294</xdr:colOff>
      <xdr:row>17</xdr:row>
      <xdr:rowOff>45431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5709284" y="2510679"/>
          <a:ext cx="2920314" cy="773252"/>
          <a:chOff x="9822113" y="2376198"/>
          <a:chExt cx="2187670" cy="816356"/>
        </a:xfrm>
      </xdr:grpSpPr>
      <xdr:sp macro="[0]!Ir_Boleta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9822113" y="2376198"/>
            <a:ext cx="2187670" cy="816356"/>
          </a:xfrm>
          <a:prstGeom prst="roundRect">
            <a:avLst/>
          </a:prstGeom>
          <a:solidFill>
            <a:srgbClr val="67BF63"/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2400">
                <a:solidFill>
                  <a:schemeClr val="bg1"/>
                </a:solidFill>
                <a:latin typeface="Bahnschrift" panose="020B0502040204020203" pitchFamily="34" charset="0"/>
                <a:ea typeface="ADLaM Display" panose="02010000000000000000" pitchFamily="2" charset="0"/>
                <a:cs typeface="ADLaM Display" panose="02010000000000000000" pitchFamily="2" charset="0"/>
              </a:rPr>
              <a:t>Boletas</a:t>
            </a:r>
          </a:p>
        </xdr:txBody>
      </xdr:sp>
      <xdr:pic macro="[0]!Ir_Boleta">
        <xdr:nvPicPr>
          <xdr:cNvPr id="28" name="Gráfico 27" descr="Insignia de portapapeles con relleno sólido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10007348" y="2393264"/>
            <a:ext cx="739953" cy="77779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767440</xdr:colOff>
      <xdr:row>8</xdr:row>
      <xdr:rowOff>7563</xdr:rowOff>
    </xdr:from>
    <xdr:to>
      <xdr:col>5</xdr:col>
      <xdr:colOff>471041</xdr:colOff>
      <xdr:row>12</xdr:row>
      <xdr:rowOff>64438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2755266" y="1531563"/>
          <a:ext cx="2685340" cy="818875"/>
          <a:chOff x="7329435" y="1342967"/>
          <a:chExt cx="2222705" cy="861155"/>
        </a:xfrm>
      </xdr:grpSpPr>
      <xdr:sp macro="[0]!Ir_Alumnos" textlink="">
        <xdr:nvSpPr>
          <xdr:cNvPr id="18" name="Rectángulo: esquinas redondeada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329435" y="1380323"/>
            <a:ext cx="2222705" cy="817142"/>
          </a:xfrm>
          <a:prstGeom prst="roundRect">
            <a:avLst/>
          </a:prstGeom>
          <a:solidFill>
            <a:srgbClr val="4BBFB4"/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s-MX" sz="2400">
                <a:solidFill>
                  <a:schemeClr val="bg1"/>
                </a:solidFill>
                <a:latin typeface="Bahnschrift" panose="020B0502040204020203" pitchFamily="34" charset="0"/>
                <a:ea typeface="ADLaM Display" panose="02010000000000000000" pitchFamily="2" charset="0"/>
                <a:cs typeface="ADLaM Display" panose="02010000000000000000" pitchFamily="2" charset="0"/>
              </a:rPr>
              <a:t>Alumnos</a:t>
            </a:r>
          </a:p>
        </xdr:txBody>
      </xdr:sp>
      <xdr:pic macro="[0]!Ir_Alumnos">
        <xdr:nvPicPr>
          <xdr:cNvPr id="30" name="Gráfico 29" descr="Colegial con relleno sólido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0"/>
              </a:ext>
            </a:extLst>
          </a:blip>
          <a:stretch>
            <a:fillRect/>
          </a:stretch>
        </xdr:blipFill>
        <xdr:spPr>
          <a:xfrm>
            <a:off x="7365604" y="1342967"/>
            <a:ext cx="861155" cy="86115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692727</xdr:colOff>
      <xdr:row>24</xdr:row>
      <xdr:rowOff>57727</xdr:rowOff>
    </xdr:from>
    <xdr:to>
      <xdr:col>8</xdr:col>
      <xdr:colOff>216477</xdr:colOff>
      <xdr:row>26</xdr:row>
      <xdr:rowOff>28863</xdr:rowOff>
    </xdr:to>
    <xdr:sp macro="[0]!Rectánguloesquinasredondeadas5_Haga_clic_en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FD5ECCF-C14A-72D2-5362-983B455444A1}"/>
            </a:ext>
          </a:extLst>
        </xdr:cNvPr>
        <xdr:cNvSpPr/>
      </xdr:nvSpPr>
      <xdr:spPr>
        <a:xfrm>
          <a:off x="5715000" y="4906818"/>
          <a:ext cx="1197841" cy="375227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bg1"/>
              </a:solidFill>
            </a:rPr>
            <a:t>Guardar</a:t>
          </a:r>
          <a:endParaRPr lang="es-MX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671945</xdr:colOff>
      <xdr:row>26</xdr:row>
      <xdr:rowOff>195695</xdr:rowOff>
    </xdr:from>
    <xdr:to>
      <xdr:col>8</xdr:col>
      <xdr:colOff>195695</xdr:colOff>
      <xdr:row>28</xdr:row>
      <xdr:rowOff>166831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583D1D78-CD1C-4036-A010-8F45D9FB1EC4}"/>
            </a:ext>
          </a:extLst>
        </xdr:cNvPr>
        <xdr:cNvSpPr/>
      </xdr:nvSpPr>
      <xdr:spPr>
        <a:xfrm>
          <a:off x="5694218" y="5448877"/>
          <a:ext cx="1197841" cy="375227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bg1"/>
              </a:solidFill>
            </a:rPr>
            <a:t>Cerrar</a:t>
          </a:r>
          <a:endParaRPr lang="es-MX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171450</xdr:rowOff>
    </xdr:from>
    <xdr:to>
      <xdr:col>0</xdr:col>
      <xdr:colOff>762000</xdr:colOff>
      <xdr:row>4</xdr:row>
      <xdr:rowOff>47625</xdr:rowOff>
    </xdr:to>
    <xdr:pic macro="[0]!Ir_Menu">
      <xdr:nvPicPr>
        <xdr:cNvPr id="3" name="Gráfico 2" descr="Flecha lineal: vuelta en U horizontal con relleno sóli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85725" y="171450"/>
          <a:ext cx="676275" cy="6762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57150</xdr:rowOff>
    </xdr:from>
    <xdr:to>
      <xdr:col>0</xdr:col>
      <xdr:colOff>790575</xdr:colOff>
      <xdr:row>2</xdr:row>
      <xdr:rowOff>733425</xdr:rowOff>
    </xdr:to>
    <xdr:pic macro="[0]!Ir_Menu">
      <xdr:nvPicPr>
        <xdr:cNvPr id="2" name="Gráfico 1" descr="Flecha lineal: vuelta en U horizontal con relleno sóli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114300" y="457200"/>
          <a:ext cx="676275" cy="6762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3</xdr:row>
      <xdr:rowOff>95250</xdr:rowOff>
    </xdr:from>
    <xdr:to>
      <xdr:col>0</xdr:col>
      <xdr:colOff>771525</xdr:colOff>
      <xdr:row>6</xdr:row>
      <xdr:rowOff>38100</xdr:rowOff>
    </xdr:to>
    <xdr:pic macro="[0]!Ir_Menu">
      <xdr:nvPicPr>
        <xdr:cNvPr id="2" name="Gráfico 1" descr="Flecha lineal: vuelta en U horizontal con relleno sóli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95250" y="695325"/>
          <a:ext cx="676275" cy="6762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180975</xdr:rowOff>
    </xdr:from>
    <xdr:to>
      <xdr:col>0</xdr:col>
      <xdr:colOff>704850</xdr:colOff>
      <xdr:row>3</xdr:row>
      <xdr:rowOff>57150</xdr:rowOff>
    </xdr:to>
    <xdr:pic macro="[0]!Ir_Menu">
      <xdr:nvPicPr>
        <xdr:cNvPr id="2" name="Gráfico 1" descr="Flecha lineal: vuelta en U horizontal con relleno sóli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8575" y="180975"/>
          <a:ext cx="676275" cy="676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Menu"/>
  <dimension ref="Q16"/>
  <sheetViews>
    <sheetView tabSelected="1" topLeftCell="B1" zoomScale="115" zoomScaleNormal="115" workbookViewId="0">
      <selection activeCell="K21" sqref="K21"/>
    </sheetView>
  </sheetViews>
  <sheetFormatPr baseColWidth="10" defaultRowHeight="15"/>
  <sheetData>
    <row r="16" spans="17:17">
      <c r="Q16" s="6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Alumnos"/>
  <dimension ref="B1:N1000"/>
  <sheetViews>
    <sheetView workbookViewId="0">
      <selection activeCell="A10" sqref="A10"/>
    </sheetView>
  </sheetViews>
  <sheetFormatPr baseColWidth="10" defaultColWidth="11.21875" defaultRowHeight="15" customHeight="1"/>
  <cols>
    <col min="1" max="1" width="10.44140625" customWidth="1"/>
    <col min="2" max="7" width="20.6640625" customWidth="1"/>
    <col min="8" max="8" width="22.77734375" customWidth="1"/>
    <col min="9" max="10" width="20.6640625" customWidth="1"/>
    <col min="11" max="11" width="24.88671875" customWidth="1"/>
    <col min="12" max="26" width="10.44140625" customWidth="1"/>
  </cols>
  <sheetData>
    <row r="1" spans="2:14" ht="15.75" customHeight="1"/>
    <row r="2" spans="2:14" ht="15.75" customHeight="1">
      <c r="B2" s="65" t="s">
        <v>0</v>
      </c>
      <c r="C2" s="66"/>
      <c r="D2" s="66"/>
      <c r="E2" s="66"/>
      <c r="F2" s="66"/>
      <c r="G2" s="66"/>
      <c r="H2" s="66"/>
      <c r="I2" s="66"/>
      <c r="J2" s="66"/>
      <c r="K2" s="67"/>
    </row>
    <row r="3" spans="2:14" ht="15.75" customHeight="1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</row>
    <row r="4" spans="2:14" ht="15.75" customHeight="1">
      <c r="B4" s="2">
        <v>1</v>
      </c>
      <c r="C4" s="3" t="s">
        <v>11</v>
      </c>
      <c r="D4" s="3" t="s">
        <v>12</v>
      </c>
      <c r="E4" s="3" t="s">
        <v>13</v>
      </c>
      <c r="F4" s="4">
        <v>43129</v>
      </c>
      <c r="G4" s="5">
        <f t="shared" ref="G4:G40" ca="1" si="0">DATEDIF(F4,TODAY(),"y")</f>
        <v>7</v>
      </c>
      <c r="H4" s="3" t="s">
        <v>14</v>
      </c>
      <c r="I4" s="6">
        <v>2</v>
      </c>
      <c r="J4" s="7" t="str">
        <f t="shared" ref="J4:J15" si="1">I4&amp;"°"&amp;"A"</f>
        <v>2°A</v>
      </c>
      <c r="K4" s="3" t="s">
        <v>15</v>
      </c>
      <c r="N4" s="8"/>
    </row>
    <row r="5" spans="2:14" ht="15.75" customHeight="1">
      <c r="B5" s="2">
        <v>2</v>
      </c>
      <c r="C5" s="3" t="s">
        <v>16</v>
      </c>
      <c r="D5" s="3" t="s">
        <v>17</v>
      </c>
      <c r="E5" s="3" t="s">
        <v>18</v>
      </c>
      <c r="F5" s="4">
        <v>43207</v>
      </c>
      <c r="G5" s="5">
        <f t="shared" ca="1" si="0"/>
        <v>6</v>
      </c>
      <c r="H5" s="3" t="s">
        <v>19</v>
      </c>
      <c r="I5" s="6">
        <v>2</v>
      </c>
      <c r="J5" s="7" t="str">
        <f t="shared" si="1"/>
        <v>2°A</v>
      </c>
      <c r="K5" s="3" t="s">
        <v>15</v>
      </c>
      <c r="N5" s="8"/>
    </row>
    <row r="6" spans="2:14" ht="15.75" customHeight="1">
      <c r="B6" s="2">
        <v>3</v>
      </c>
      <c r="C6" s="3" t="s">
        <v>20</v>
      </c>
      <c r="D6" s="3" t="s">
        <v>21</v>
      </c>
      <c r="E6" s="3" t="s">
        <v>22</v>
      </c>
      <c r="F6" s="4">
        <v>43346</v>
      </c>
      <c r="G6" s="5">
        <f t="shared" ca="1" si="0"/>
        <v>6</v>
      </c>
      <c r="H6" s="3" t="s">
        <v>23</v>
      </c>
      <c r="I6" s="6">
        <v>2</v>
      </c>
      <c r="J6" s="7" t="str">
        <f t="shared" si="1"/>
        <v>2°A</v>
      </c>
      <c r="K6" s="3" t="s">
        <v>15</v>
      </c>
      <c r="N6" s="8"/>
    </row>
    <row r="7" spans="2:14" ht="15.75" customHeight="1">
      <c r="B7" s="2">
        <v>4</v>
      </c>
      <c r="C7" s="3" t="s">
        <v>24</v>
      </c>
      <c r="D7" s="3" t="s">
        <v>25</v>
      </c>
      <c r="E7" s="3" t="s">
        <v>26</v>
      </c>
      <c r="F7" s="4">
        <v>43234</v>
      </c>
      <c r="G7" s="5">
        <f t="shared" ca="1" si="0"/>
        <v>6</v>
      </c>
      <c r="H7" s="3" t="s">
        <v>27</v>
      </c>
      <c r="I7" s="6">
        <v>2</v>
      </c>
      <c r="J7" s="7" t="str">
        <f t="shared" si="1"/>
        <v>2°A</v>
      </c>
      <c r="K7" s="3" t="s">
        <v>15</v>
      </c>
      <c r="N7" s="8"/>
    </row>
    <row r="8" spans="2:14" ht="15.75" customHeight="1">
      <c r="B8" s="2">
        <v>5</v>
      </c>
      <c r="C8" s="3" t="s">
        <v>28</v>
      </c>
      <c r="D8" s="3" t="s">
        <v>29</v>
      </c>
      <c r="E8" s="3" t="s">
        <v>30</v>
      </c>
      <c r="F8" s="4">
        <v>43182</v>
      </c>
      <c r="G8" s="5">
        <f t="shared" ca="1" si="0"/>
        <v>7</v>
      </c>
      <c r="H8" s="3" t="s">
        <v>31</v>
      </c>
      <c r="I8" s="6">
        <v>2</v>
      </c>
      <c r="J8" s="7" t="str">
        <f t="shared" si="1"/>
        <v>2°A</v>
      </c>
      <c r="K8" s="3" t="s">
        <v>15</v>
      </c>
      <c r="N8" s="8"/>
    </row>
    <row r="9" spans="2:14" ht="15.75" customHeight="1">
      <c r="B9" s="2">
        <v>6</v>
      </c>
      <c r="C9" s="3" t="s">
        <v>32</v>
      </c>
      <c r="D9" s="3" t="s">
        <v>32</v>
      </c>
      <c r="E9" s="3" t="s">
        <v>33</v>
      </c>
      <c r="F9" s="4">
        <v>43135</v>
      </c>
      <c r="G9" s="5">
        <f t="shared" ca="1" si="0"/>
        <v>7</v>
      </c>
      <c r="H9" s="3" t="s">
        <v>34</v>
      </c>
      <c r="I9" s="6">
        <v>2</v>
      </c>
      <c r="J9" s="7" t="str">
        <f t="shared" si="1"/>
        <v>2°A</v>
      </c>
      <c r="K9" s="3" t="s">
        <v>15</v>
      </c>
      <c r="N9" s="8"/>
    </row>
    <row r="10" spans="2:14" ht="15.75" customHeight="1">
      <c r="B10" s="2">
        <v>7</v>
      </c>
      <c r="C10" s="3" t="s">
        <v>25</v>
      </c>
      <c r="D10" s="3" t="s">
        <v>16</v>
      </c>
      <c r="E10" s="3" t="s">
        <v>35</v>
      </c>
      <c r="F10" s="4">
        <v>43164</v>
      </c>
      <c r="G10" s="5">
        <f t="shared" ca="1" si="0"/>
        <v>7</v>
      </c>
      <c r="H10" s="3" t="s">
        <v>36</v>
      </c>
      <c r="I10" s="6">
        <v>2</v>
      </c>
      <c r="J10" s="7" t="str">
        <f t="shared" si="1"/>
        <v>2°A</v>
      </c>
      <c r="K10" s="3" t="s">
        <v>15</v>
      </c>
      <c r="N10" s="8"/>
    </row>
    <row r="11" spans="2:14" ht="15.75" customHeight="1">
      <c r="B11" s="2">
        <v>8</v>
      </c>
      <c r="C11" s="3" t="s">
        <v>37</v>
      </c>
      <c r="D11" s="3" t="s">
        <v>38</v>
      </c>
      <c r="E11" s="3" t="s">
        <v>39</v>
      </c>
      <c r="F11" s="4">
        <v>43399</v>
      </c>
      <c r="G11" s="5">
        <f t="shared" ca="1" si="0"/>
        <v>6</v>
      </c>
      <c r="H11" s="3" t="s">
        <v>40</v>
      </c>
      <c r="I11" s="6">
        <v>2</v>
      </c>
      <c r="J11" s="7" t="str">
        <f t="shared" si="1"/>
        <v>2°A</v>
      </c>
      <c r="K11" s="3" t="s">
        <v>15</v>
      </c>
      <c r="N11" s="8"/>
    </row>
    <row r="12" spans="2:14" ht="15.75" customHeight="1">
      <c r="B12" s="2">
        <v>9</v>
      </c>
      <c r="C12" s="3" t="s">
        <v>24</v>
      </c>
      <c r="D12" s="3" t="s">
        <v>41</v>
      </c>
      <c r="E12" s="3" t="s">
        <v>42</v>
      </c>
      <c r="F12" s="4">
        <v>43324</v>
      </c>
      <c r="G12" s="5">
        <f t="shared" ca="1" si="0"/>
        <v>6</v>
      </c>
      <c r="H12" s="3" t="s">
        <v>43</v>
      </c>
      <c r="I12" s="6">
        <v>2</v>
      </c>
      <c r="J12" s="7" t="str">
        <f t="shared" si="1"/>
        <v>2°A</v>
      </c>
      <c r="K12" s="3" t="s">
        <v>15</v>
      </c>
      <c r="N12" s="8"/>
    </row>
    <row r="13" spans="2:14" ht="15.75" customHeight="1">
      <c r="B13" s="2">
        <v>10</v>
      </c>
      <c r="C13" s="3" t="s">
        <v>44</v>
      </c>
      <c r="D13" s="3" t="s">
        <v>45</v>
      </c>
      <c r="E13" s="3" t="s">
        <v>46</v>
      </c>
      <c r="F13" s="4">
        <v>43122</v>
      </c>
      <c r="G13" s="5">
        <f t="shared" ca="1" si="0"/>
        <v>7</v>
      </c>
      <c r="H13" s="3" t="s">
        <v>47</v>
      </c>
      <c r="I13" s="6">
        <v>2</v>
      </c>
      <c r="J13" s="7" t="str">
        <f t="shared" si="1"/>
        <v>2°A</v>
      </c>
      <c r="K13" s="3" t="s">
        <v>15</v>
      </c>
      <c r="N13" s="8"/>
    </row>
    <row r="14" spans="2:14" ht="15.75" customHeight="1">
      <c r="B14" s="2">
        <v>11</v>
      </c>
      <c r="C14" s="3" t="s">
        <v>44</v>
      </c>
      <c r="D14" s="3" t="s">
        <v>48</v>
      </c>
      <c r="E14" s="3" t="s">
        <v>49</v>
      </c>
      <c r="F14" s="4">
        <v>43181</v>
      </c>
      <c r="G14" s="5">
        <f t="shared" ca="1" si="0"/>
        <v>7</v>
      </c>
      <c r="H14" s="3" t="s">
        <v>50</v>
      </c>
      <c r="I14" s="6">
        <v>2</v>
      </c>
      <c r="J14" s="7" t="str">
        <f t="shared" si="1"/>
        <v>2°A</v>
      </c>
      <c r="K14" s="3" t="s">
        <v>15</v>
      </c>
      <c r="N14" s="8"/>
    </row>
    <row r="15" spans="2:14" ht="15.75" customHeight="1">
      <c r="B15" s="2">
        <v>12</v>
      </c>
      <c r="C15" s="3" t="s">
        <v>51</v>
      </c>
      <c r="D15" s="3" t="s">
        <v>21</v>
      </c>
      <c r="E15" s="3" t="s">
        <v>52</v>
      </c>
      <c r="F15" s="4">
        <v>43166</v>
      </c>
      <c r="G15" s="5">
        <f t="shared" ca="1" si="0"/>
        <v>7</v>
      </c>
      <c r="H15" s="3" t="s">
        <v>53</v>
      </c>
      <c r="I15" s="6">
        <v>2</v>
      </c>
      <c r="J15" s="7" t="str">
        <f t="shared" si="1"/>
        <v>2°A</v>
      </c>
      <c r="K15" s="3" t="s">
        <v>15</v>
      </c>
      <c r="N15" s="8"/>
    </row>
    <row r="16" spans="2:14" ht="15.75" customHeight="1">
      <c r="B16" s="2">
        <v>13</v>
      </c>
      <c r="C16" s="3" t="s">
        <v>54</v>
      </c>
      <c r="D16" s="3" t="s">
        <v>45</v>
      </c>
      <c r="E16" s="3" t="s">
        <v>55</v>
      </c>
      <c r="F16" s="4">
        <v>43122</v>
      </c>
      <c r="G16" s="5">
        <f t="shared" ca="1" si="0"/>
        <v>7</v>
      </c>
      <c r="H16" s="3" t="s">
        <v>56</v>
      </c>
      <c r="I16" s="9">
        <v>2</v>
      </c>
      <c r="J16" s="10" t="str">
        <f t="shared" ref="J16:J29" si="2">I16&amp;"°"&amp;"B"</f>
        <v>2°B</v>
      </c>
      <c r="K16" s="3" t="s">
        <v>57</v>
      </c>
      <c r="N16" s="8"/>
    </row>
    <row r="17" spans="2:14" ht="15.75" customHeight="1">
      <c r="B17" s="2">
        <v>14</v>
      </c>
      <c r="C17" s="3" t="s">
        <v>58</v>
      </c>
      <c r="D17" s="3" t="s">
        <v>21</v>
      </c>
      <c r="E17" s="3" t="s">
        <v>59</v>
      </c>
      <c r="F17" s="4">
        <v>43362</v>
      </c>
      <c r="G17" s="5">
        <f t="shared" ca="1" si="0"/>
        <v>6</v>
      </c>
      <c r="H17" s="3" t="s">
        <v>60</v>
      </c>
      <c r="I17" s="9">
        <v>2</v>
      </c>
      <c r="J17" s="10" t="str">
        <f t="shared" si="2"/>
        <v>2°B</v>
      </c>
      <c r="K17" s="3" t="s">
        <v>57</v>
      </c>
      <c r="N17" s="8"/>
    </row>
    <row r="18" spans="2:14" ht="15.75" customHeight="1">
      <c r="B18" s="2">
        <v>15</v>
      </c>
      <c r="C18" s="3" t="s">
        <v>16</v>
      </c>
      <c r="D18" s="3" t="s">
        <v>61</v>
      </c>
      <c r="E18" s="3" t="s">
        <v>62</v>
      </c>
      <c r="F18" s="4">
        <v>43416</v>
      </c>
      <c r="G18" s="5">
        <f t="shared" ca="1" si="0"/>
        <v>6</v>
      </c>
      <c r="H18" s="3" t="s">
        <v>63</v>
      </c>
      <c r="I18" s="9">
        <v>2</v>
      </c>
      <c r="J18" s="10" t="str">
        <f t="shared" si="2"/>
        <v>2°B</v>
      </c>
      <c r="K18" s="3" t="s">
        <v>57</v>
      </c>
      <c r="N18" s="8"/>
    </row>
    <row r="19" spans="2:14" ht="15.75" customHeight="1">
      <c r="B19" s="2">
        <v>16</v>
      </c>
      <c r="C19" s="3" t="s">
        <v>64</v>
      </c>
      <c r="D19" s="3" t="s">
        <v>44</v>
      </c>
      <c r="E19" s="3" t="s">
        <v>65</v>
      </c>
      <c r="F19" s="4">
        <v>43192</v>
      </c>
      <c r="G19" s="5">
        <f t="shared" ca="1" si="0"/>
        <v>7</v>
      </c>
      <c r="H19" s="3" t="s">
        <v>66</v>
      </c>
      <c r="I19" s="9">
        <v>2</v>
      </c>
      <c r="J19" s="10" t="str">
        <f t="shared" si="2"/>
        <v>2°B</v>
      </c>
      <c r="K19" s="3" t="s">
        <v>57</v>
      </c>
      <c r="N19" s="8"/>
    </row>
    <row r="20" spans="2:14" ht="15.75" customHeight="1">
      <c r="B20" s="2">
        <v>17</v>
      </c>
      <c r="C20" s="3" t="s">
        <v>67</v>
      </c>
      <c r="D20" s="3" t="s">
        <v>68</v>
      </c>
      <c r="E20" s="3" t="s">
        <v>69</v>
      </c>
      <c r="F20" s="4">
        <v>43225</v>
      </c>
      <c r="G20" s="5">
        <f t="shared" ca="1" si="0"/>
        <v>6</v>
      </c>
      <c r="H20" s="3" t="s">
        <v>70</v>
      </c>
      <c r="I20" s="9">
        <v>2</v>
      </c>
      <c r="J20" s="10" t="str">
        <f t="shared" si="2"/>
        <v>2°B</v>
      </c>
      <c r="K20" s="3" t="s">
        <v>57</v>
      </c>
      <c r="N20" s="8"/>
    </row>
    <row r="21" spans="2:14" ht="15.75" customHeight="1">
      <c r="B21" s="2">
        <v>18</v>
      </c>
      <c r="C21" s="3" t="s">
        <v>71</v>
      </c>
      <c r="D21" s="3" t="s">
        <v>58</v>
      </c>
      <c r="E21" s="3" t="s">
        <v>72</v>
      </c>
      <c r="F21" s="4">
        <v>43157</v>
      </c>
      <c r="G21" s="5">
        <f t="shared" ca="1" si="0"/>
        <v>7</v>
      </c>
      <c r="H21" s="3" t="s">
        <v>73</v>
      </c>
      <c r="I21" s="9">
        <v>2</v>
      </c>
      <c r="J21" s="10" t="str">
        <f t="shared" si="2"/>
        <v>2°B</v>
      </c>
      <c r="K21" s="3" t="s">
        <v>57</v>
      </c>
      <c r="N21" s="8"/>
    </row>
    <row r="22" spans="2:14" ht="15.75" customHeight="1">
      <c r="B22" s="2">
        <v>19</v>
      </c>
      <c r="C22" s="3" t="s">
        <v>74</v>
      </c>
      <c r="D22" s="3" t="s">
        <v>75</v>
      </c>
      <c r="E22" s="3" t="s">
        <v>76</v>
      </c>
      <c r="F22" s="4">
        <v>43375</v>
      </c>
      <c r="G22" s="5">
        <f t="shared" ca="1" si="0"/>
        <v>6</v>
      </c>
      <c r="H22" s="3" t="s">
        <v>77</v>
      </c>
      <c r="I22" s="9">
        <v>2</v>
      </c>
      <c r="J22" s="10" t="str">
        <f t="shared" si="2"/>
        <v>2°B</v>
      </c>
      <c r="K22" s="3" t="s">
        <v>57</v>
      </c>
      <c r="N22" s="8"/>
    </row>
    <row r="23" spans="2:14" ht="15.75" customHeight="1">
      <c r="B23" s="2">
        <v>20</v>
      </c>
      <c r="C23" s="3" t="s">
        <v>54</v>
      </c>
      <c r="D23" s="3" t="s">
        <v>78</v>
      </c>
      <c r="E23" s="3" t="s">
        <v>79</v>
      </c>
      <c r="F23" s="4">
        <v>43111</v>
      </c>
      <c r="G23" s="5">
        <f t="shared" ca="1" si="0"/>
        <v>7</v>
      </c>
      <c r="H23" s="3" t="s">
        <v>80</v>
      </c>
      <c r="I23" s="9">
        <v>2</v>
      </c>
      <c r="J23" s="10" t="str">
        <f t="shared" si="2"/>
        <v>2°B</v>
      </c>
      <c r="K23" s="3" t="s">
        <v>57</v>
      </c>
      <c r="N23" s="8"/>
    </row>
    <row r="24" spans="2:14" ht="15.75" customHeight="1">
      <c r="B24" s="2">
        <v>21</v>
      </c>
      <c r="C24" s="3" t="s">
        <v>81</v>
      </c>
      <c r="D24" s="3" t="s">
        <v>25</v>
      </c>
      <c r="E24" s="3" t="s">
        <v>82</v>
      </c>
      <c r="F24" s="4">
        <v>43321</v>
      </c>
      <c r="G24" s="5">
        <f t="shared" ca="1" si="0"/>
        <v>6</v>
      </c>
      <c r="H24" s="3" t="s">
        <v>83</v>
      </c>
      <c r="I24" s="9">
        <v>2</v>
      </c>
      <c r="J24" s="10" t="str">
        <f t="shared" si="2"/>
        <v>2°B</v>
      </c>
      <c r="K24" s="3" t="s">
        <v>57</v>
      </c>
      <c r="N24" s="8"/>
    </row>
    <row r="25" spans="2:14" ht="15.75" customHeight="1">
      <c r="B25" s="2">
        <v>22</v>
      </c>
      <c r="C25" s="3" t="s">
        <v>84</v>
      </c>
      <c r="D25" s="3" t="s">
        <v>37</v>
      </c>
      <c r="E25" s="3" t="s">
        <v>85</v>
      </c>
      <c r="F25" s="4">
        <v>43167</v>
      </c>
      <c r="G25" s="5">
        <f t="shared" ca="1" si="0"/>
        <v>7</v>
      </c>
      <c r="H25" s="3" t="s">
        <v>86</v>
      </c>
      <c r="I25" s="9">
        <v>2</v>
      </c>
      <c r="J25" s="10" t="str">
        <f t="shared" si="2"/>
        <v>2°B</v>
      </c>
      <c r="K25" s="3" t="s">
        <v>57</v>
      </c>
      <c r="N25" s="8"/>
    </row>
    <row r="26" spans="2:14" ht="15.75" customHeight="1">
      <c r="B26" s="2">
        <v>23</v>
      </c>
      <c r="C26" s="3" t="s">
        <v>45</v>
      </c>
      <c r="D26" s="3" t="s">
        <v>58</v>
      </c>
      <c r="E26" s="3" t="s">
        <v>87</v>
      </c>
      <c r="F26" s="4">
        <v>43138</v>
      </c>
      <c r="G26" s="5">
        <f t="shared" ca="1" si="0"/>
        <v>7</v>
      </c>
      <c r="H26" s="3" t="s">
        <v>88</v>
      </c>
      <c r="I26" s="9">
        <v>2</v>
      </c>
      <c r="J26" s="10" t="str">
        <f t="shared" si="2"/>
        <v>2°B</v>
      </c>
      <c r="K26" s="3" t="s">
        <v>57</v>
      </c>
      <c r="N26" s="8"/>
    </row>
    <row r="27" spans="2:14" ht="15.75" customHeight="1">
      <c r="B27" s="2">
        <v>24</v>
      </c>
      <c r="C27" s="3" t="s">
        <v>89</v>
      </c>
      <c r="D27" s="3" t="s">
        <v>54</v>
      </c>
      <c r="E27" s="3" t="s">
        <v>62</v>
      </c>
      <c r="F27" s="4">
        <v>43431</v>
      </c>
      <c r="G27" s="5">
        <f t="shared" ca="1" si="0"/>
        <v>6</v>
      </c>
      <c r="H27" s="3" t="s">
        <v>90</v>
      </c>
      <c r="I27" s="9">
        <v>2</v>
      </c>
      <c r="J27" s="10" t="str">
        <f t="shared" si="2"/>
        <v>2°B</v>
      </c>
      <c r="K27" s="3" t="s">
        <v>57</v>
      </c>
      <c r="N27" s="8"/>
    </row>
    <row r="28" spans="2:14" ht="15.75" customHeight="1">
      <c r="B28" s="2">
        <v>25</v>
      </c>
      <c r="C28" s="3" t="s">
        <v>91</v>
      </c>
      <c r="D28" s="3" t="s">
        <v>92</v>
      </c>
      <c r="E28" s="3" t="s">
        <v>93</v>
      </c>
      <c r="F28" s="4">
        <v>43182</v>
      </c>
      <c r="G28" s="5">
        <f t="shared" ca="1" si="0"/>
        <v>7</v>
      </c>
      <c r="H28" s="3" t="s">
        <v>94</v>
      </c>
      <c r="I28" s="9">
        <v>2</v>
      </c>
      <c r="J28" s="10" t="str">
        <f t="shared" si="2"/>
        <v>2°B</v>
      </c>
      <c r="K28" s="3" t="s">
        <v>57</v>
      </c>
      <c r="N28" s="8"/>
    </row>
    <row r="29" spans="2:14" ht="15.75" customHeight="1">
      <c r="B29" s="2">
        <v>26</v>
      </c>
      <c r="C29" s="3" t="s">
        <v>95</v>
      </c>
      <c r="D29" s="3" t="s">
        <v>96</v>
      </c>
      <c r="E29" s="3" t="s">
        <v>97</v>
      </c>
      <c r="F29" s="4">
        <v>43192</v>
      </c>
      <c r="G29" s="5">
        <f t="shared" ca="1" si="0"/>
        <v>7</v>
      </c>
      <c r="H29" s="3" t="s">
        <v>98</v>
      </c>
      <c r="I29" s="9">
        <v>2</v>
      </c>
      <c r="J29" s="10" t="str">
        <f t="shared" si="2"/>
        <v>2°B</v>
      </c>
      <c r="K29" s="3" t="s">
        <v>15</v>
      </c>
    </row>
    <row r="30" spans="2:14" ht="15.75" customHeight="1">
      <c r="B30" s="2">
        <v>27</v>
      </c>
      <c r="C30" s="3" t="s">
        <v>99</v>
      </c>
      <c r="D30" s="3" t="s">
        <v>100</v>
      </c>
      <c r="E30" s="3" t="s">
        <v>101</v>
      </c>
      <c r="F30" s="4">
        <v>43076</v>
      </c>
      <c r="G30" s="5">
        <f t="shared" ca="1" si="0"/>
        <v>7</v>
      </c>
      <c r="H30" s="3" t="s">
        <v>102</v>
      </c>
      <c r="I30" s="11">
        <v>3</v>
      </c>
      <c r="J30" s="12" t="str">
        <f t="shared" ref="J30:J40" si="3">I30&amp;"°"&amp;"A"</f>
        <v>3°A</v>
      </c>
      <c r="K30" s="3" t="s">
        <v>15</v>
      </c>
    </row>
    <row r="31" spans="2:14" ht="15.75" customHeight="1">
      <c r="B31" s="2">
        <v>28</v>
      </c>
      <c r="C31" s="3" t="s">
        <v>103</v>
      </c>
      <c r="D31" s="3" t="s">
        <v>58</v>
      </c>
      <c r="E31" s="3" t="s">
        <v>104</v>
      </c>
      <c r="F31" s="4">
        <v>42849</v>
      </c>
      <c r="G31" s="5">
        <f t="shared" ca="1" si="0"/>
        <v>7</v>
      </c>
      <c r="H31" s="3" t="s">
        <v>105</v>
      </c>
      <c r="I31" s="11">
        <v>3</v>
      </c>
      <c r="J31" s="12" t="str">
        <f t="shared" si="3"/>
        <v>3°A</v>
      </c>
      <c r="K31" s="3" t="s">
        <v>15</v>
      </c>
    </row>
    <row r="32" spans="2:14" ht="15.75" customHeight="1">
      <c r="B32" s="2">
        <v>29</v>
      </c>
      <c r="C32" s="3" t="s">
        <v>44</v>
      </c>
      <c r="D32" s="3" t="s">
        <v>21</v>
      </c>
      <c r="E32" s="3" t="s">
        <v>106</v>
      </c>
      <c r="F32" s="4">
        <v>43080</v>
      </c>
      <c r="G32" s="5">
        <f t="shared" ca="1" si="0"/>
        <v>7</v>
      </c>
      <c r="H32" s="3" t="s">
        <v>107</v>
      </c>
      <c r="I32" s="11">
        <v>3</v>
      </c>
      <c r="J32" s="12" t="str">
        <f t="shared" si="3"/>
        <v>3°A</v>
      </c>
      <c r="K32" s="3" t="s">
        <v>15</v>
      </c>
    </row>
    <row r="33" spans="2:11" ht="15.75" customHeight="1">
      <c r="B33" s="2">
        <v>30</v>
      </c>
      <c r="C33" s="3" t="s">
        <v>108</v>
      </c>
      <c r="D33" s="3" t="s">
        <v>100</v>
      </c>
      <c r="E33" s="3" t="s">
        <v>65</v>
      </c>
      <c r="F33" s="4">
        <v>42813</v>
      </c>
      <c r="G33" s="5">
        <f t="shared" ca="1" si="0"/>
        <v>8</v>
      </c>
      <c r="H33" s="3" t="s">
        <v>109</v>
      </c>
      <c r="I33" s="11">
        <v>3</v>
      </c>
      <c r="J33" s="12" t="str">
        <f t="shared" si="3"/>
        <v>3°A</v>
      </c>
      <c r="K33" s="3" t="s">
        <v>15</v>
      </c>
    </row>
    <row r="34" spans="2:11" ht="15.75" customHeight="1">
      <c r="B34" s="2">
        <v>31</v>
      </c>
      <c r="C34" s="3" t="s">
        <v>110</v>
      </c>
      <c r="D34" s="3" t="s">
        <v>11</v>
      </c>
      <c r="E34" s="3" t="s">
        <v>111</v>
      </c>
      <c r="F34" s="4">
        <v>42870</v>
      </c>
      <c r="G34" s="5">
        <f t="shared" ca="1" si="0"/>
        <v>7</v>
      </c>
      <c r="H34" s="3" t="s">
        <v>112</v>
      </c>
      <c r="I34" s="11">
        <v>3</v>
      </c>
      <c r="J34" s="12" t="str">
        <f t="shared" si="3"/>
        <v>3°A</v>
      </c>
      <c r="K34" s="3" t="s">
        <v>15</v>
      </c>
    </row>
    <row r="35" spans="2:11" ht="15.75" customHeight="1">
      <c r="B35" s="2">
        <v>32</v>
      </c>
      <c r="C35" s="3" t="s">
        <v>54</v>
      </c>
      <c r="D35" s="3" t="s">
        <v>84</v>
      </c>
      <c r="E35" s="3" t="s">
        <v>42</v>
      </c>
      <c r="F35" s="4">
        <v>42889</v>
      </c>
      <c r="G35" s="5">
        <f t="shared" ca="1" si="0"/>
        <v>7</v>
      </c>
      <c r="H35" s="3" t="s">
        <v>113</v>
      </c>
      <c r="I35" s="11">
        <v>3</v>
      </c>
      <c r="J35" s="12" t="str">
        <f t="shared" si="3"/>
        <v>3°A</v>
      </c>
      <c r="K35" s="3" t="s">
        <v>15</v>
      </c>
    </row>
    <row r="36" spans="2:11" ht="15.75" customHeight="1">
      <c r="B36" s="2">
        <v>33</v>
      </c>
      <c r="C36" s="3" t="s">
        <v>51</v>
      </c>
      <c r="D36" s="3" t="s">
        <v>91</v>
      </c>
      <c r="E36" s="3" t="s">
        <v>114</v>
      </c>
      <c r="F36" s="4">
        <v>42788</v>
      </c>
      <c r="G36" s="5">
        <f t="shared" ca="1" si="0"/>
        <v>8</v>
      </c>
      <c r="H36" s="3" t="s">
        <v>115</v>
      </c>
      <c r="I36" s="11">
        <v>3</v>
      </c>
      <c r="J36" s="12" t="str">
        <f t="shared" si="3"/>
        <v>3°A</v>
      </c>
      <c r="K36" s="3" t="s">
        <v>15</v>
      </c>
    </row>
    <row r="37" spans="2:11" ht="15.75" customHeight="1">
      <c r="B37" s="2">
        <v>34</v>
      </c>
      <c r="C37" s="3" t="s">
        <v>116</v>
      </c>
      <c r="D37" s="3" t="s">
        <v>117</v>
      </c>
      <c r="E37" s="3" t="s">
        <v>118</v>
      </c>
      <c r="F37" s="4">
        <v>42917</v>
      </c>
      <c r="G37" s="5">
        <f t="shared" ca="1" si="0"/>
        <v>7</v>
      </c>
      <c r="H37" s="3" t="s">
        <v>119</v>
      </c>
      <c r="I37" s="11">
        <v>3</v>
      </c>
      <c r="J37" s="12" t="str">
        <f t="shared" si="3"/>
        <v>3°A</v>
      </c>
      <c r="K37" s="3" t="s">
        <v>15</v>
      </c>
    </row>
    <row r="38" spans="2:11" ht="15.75" customHeight="1">
      <c r="B38" s="2">
        <v>35</v>
      </c>
      <c r="C38" s="3" t="s">
        <v>54</v>
      </c>
      <c r="D38" s="3" t="s">
        <v>89</v>
      </c>
      <c r="E38" s="3" t="s">
        <v>39</v>
      </c>
      <c r="F38" s="4">
        <v>42962</v>
      </c>
      <c r="G38" s="5">
        <f t="shared" ca="1" si="0"/>
        <v>7</v>
      </c>
      <c r="H38" s="3" t="s">
        <v>120</v>
      </c>
      <c r="I38" s="11">
        <v>3</v>
      </c>
      <c r="J38" s="12" t="str">
        <f t="shared" si="3"/>
        <v>3°A</v>
      </c>
      <c r="K38" s="3" t="s">
        <v>15</v>
      </c>
    </row>
    <row r="39" spans="2:11" ht="15.75" customHeight="1">
      <c r="B39" s="2">
        <v>36</v>
      </c>
      <c r="C39" s="3" t="s">
        <v>121</v>
      </c>
      <c r="D39" s="3" t="s">
        <v>21</v>
      </c>
      <c r="E39" s="3" t="s">
        <v>122</v>
      </c>
      <c r="F39" s="4">
        <v>43052</v>
      </c>
      <c r="G39" s="5">
        <f t="shared" ca="1" si="0"/>
        <v>7</v>
      </c>
      <c r="H39" s="3" t="s">
        <v>123</v>
      </c>
      <c r="I39" s="11">
        <v>3</v>
      </c>
      <c r="J39" s="12" t="str">
        <f t="shared" si="3"/>
        <v>3°A</v>
      </c>
      <c r="K39" s="3" t="s">
        <v>15</v>
      </c>
    </row>
    <row r="40" spans="2:11" ht="15.75" customHeight="1">
      <c r="B40" s="13">
        <v>37</v>
      </c>
      <c r="C40" s="14" t="s">
        <v>124</v>
      </c>
      <c r="D40" s="14" t="s">
        <v>125</v>
      </c>
      <c r="E40" s="14" t="s">
        <v>126</v>
      </c>
      <c r="F40" s="15">
        <v>42778</v>
      </c>
      <c r="G40" s="16">
        <f t="shared" ca="1" si="0"/>
        <v>8</v>
      </c>
      <c r="H40" s="14" t="s">
        <v>127</v>
      </c>
      <c r="I40" s="11">
        <v>3</v>
      </c>
      <c r="J40" s="12" t="str">
        <f t="shared" si="3"/>
        <v>3°A</v>
      </c>
      <c r="K40" s="14" t="s">
        <v>15</v>
      </c>
    </row>
    <row r="41" spans="2:11" ht="15.75" customHeight="1"/>
    <row r="42" spans="2:11" ht="15.75" customHeight="1"/>
    <row r="43" spans="2:11" ht="15.75" customHeight="1"/>
    <row r="44" spans="2:11" ht="15.75" customHeight="1"/>
    <row r="45" spans="2:11" ht="15.75" customHeight="1"/>
    <row r="46" spans="2:11" ht="15.75" customHeight="1"/>
    <row r="47" spans="2:11" ht="15.75" customHeight="1"/>
    <row r="48" spans="2:11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2:K2"/>
  </mergeCells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Calificaciones"/>
  <dimension ref="B1:U1000"/>
  <sheetViews>
    <sheetView workbookViewId="0">
      <selection activeCell="A3" sqref="A3"/>
    </sheetView>
  </sheetViews>
  <sheetFormatPr baseColWidth="10" defaultColWidth="11.21875" defaultRowHeight="15" customHeight="1"/>
  <cols>
    <col min="1" max="1" width="10.44140625" customWidth="1"/>
    <col min="2" max="2" width="9.6640625" customWidth="1"/>
    <col min="3" max="3" width="28.6640625" customWidth="1"/>
    <col min="4" max="12" width="5.33203125" customWidth="1"/>
    <col min="13" max="13" width="10.109375" customWidth="1"/>
    <col min="14" max="14" width="25.6640625" customWidth="1"/>
    <col min="15" max="21" width="5.33203125" customWidth="1"/>
    <col min="22" max="26" width="10.44140625" customWidth="1"/>
  </cols>
  <sheetData>
    <row r="1" spans="2:21" ht="15.75" customHeight="1"/>
    <row r="2" spans="2:21" ht="15.75" customHeight="1">
      <c r="B2" s="68" t="s">
        <v>128</v>
      </c>
      <c r="C2" s="69"/>
      <c r="D2" s="70" t="s">
        <v>129</v>
      </c>
      <c r="E2" s="71"/>
      <c r="F2" s="71"/>
      <c r="G2" s="71"/>
      <c r="H2" s="71"/>
      <c r="I2" s="71"/>
      <c r="J2" s="72"/>
      <c r="M2" s="68" t="s">
        <v>128</v>
      </c>
      <c r="N2" s="69"/>
      <c r="O2" s="73" t="s">
        <v>130</v>
      </c>
      <c r="P2" s="71"/>
      <c r="Q2" s="71"/>
      <c r="R2" s="71"/>
      <c r="S2" s="71"/>
      <c r="T2" s="71"/>
      <c r="U2" s="72"/>
    </row>
    <row r="3" spans="2:21" ht="78">
      <c r="B3" s="17" t="s">
        <v>1</v>
      </c>
      <c r="C3" s="18" t="s">
        <v>4</v>
      </c>
      <c r="D3" s="19" t="s">
        <v>131</v>
      </c>
      <c r="E3" s="19" t="s">
        <v>132</v>
      </c>
      <c r="F3" s="19" t="s">
        <v>133</v>
      </c>
      <c r="G3" s="19" t="s">
        <v>134</v>
      </c>
      <c r="H3" s="19" t="s">
        <v>135</v>
      </c>
      <c r="I3" s="19" t="s">
        <v>136</v>
      </c>
      <c r="J3" s="19" t="s">
        <v>137</v>
      </c>
      <c r="M3" s="20" t="s">
        <v>1</v>
      </c>
      <c r="N3" s="21" t="s">
        <v>4</v>
      </c>
      <c r="O3" s="22" t="s">
        <v>131</v>
      </c>
      <c r="P3" s="22" t="s">
        <v>132</v>
      </c>
      <c r="Q3" s="22" t="s">
        <v>133</v>
      </c>
      <c r="R3" s="22" t="s">
        <v>134</v>
      </c>
      <c r="S3" s="22" t="s">
        <v>135</v>
      </c>
      <c r="T3" s="22" t="s">
        <v>136</v>
      </c>
      <c r="U3" s="22" t="s">
        <v>137</v>
      </c>
    </row>
    <row r="4" spans="2:21" ht="15.75" customHeight="1">
      <c r="B4" s="23">
        <v>1</v>
      </c>
      <c r="C4" s="24" t="str">
        <f>Alumnos!C4&amp;" "&amp;Alumnos!D4&amp;" "&amp;Alumnos!E4</f>
        <v>Moreno Valencia Juan</v>
      </c>
      <c r="D4" s="25">
        <v>9</v>
      </c>
      <c r="E4" s="25">
        <v>6</v>
      </c>
      <c r="F4" s="25">
        <v>9</v>
      </c>
      <c r="G4" s="25">
        <v>7</v>
      </c>
      <c r="H4" s="25">
        <v>8</v>
      </c>
      <c r="I4" s="25">
        <v>10</v>
      </c>
      <c r="J4" s="26">
        <f t="shared" ref="J4:J15" si="0">AVERAGE(D4:I4)</f>
        <v>8.1666666666666661</v>
      </c>
      <c r="M4" s="23">
        <v>27</v>
      </c>
      <c r="N4" s="24" t="str">
        <f>Alumnos!C30&amp;" "&amp;Alumnos!D30&amp;" "&amp;Alumnos!E30</f>
        <v>Escobar Pineda Miguel Luis</v>
      </c>
      <c r="O4" s="25">
        <v>10</v>
      </c>
      <c r="P4" s="25">
        <v>8</v>
      </c>
      <c r="Q4" s="25">
        <v>8</v>
      </c>
      <c r="R4" s="25">
        <v>6</v>
      </c>
      <c r="S4" s="25">
        <v>10</v>
      </c>
      <c r="T4" s="25">
        <v>9</v>
      </c>
      <c r="U4" s="27">
        <f t="shared" ref="U4:U14" si="1">AVERAGE(O4:T4)</f>
        <v>8.5</v>
      </c>
    </row>
    <row r="5" spans="2:21" ht="15.75" customHeight="1">
      <c r="B5" s="23">
        <v>2</v>
      </c>
      <c r="C5" s="24" t="str">
        <f>Alumnos!C5&amp;" "&amp;Alumnos!D5&amp;" "&amp;Alumnos!E5</f>
        <v>Santos Vargas Valentina</v>
      </c>
      <c r="D5" s="25">
        <v>6</v>
      </c>
      <c r="E5" s="25">
        <v>10</v>
      </c>
      <c r="F5" s="25">
        <v>9</v>
      </c>
      <c r="G5" s="25">
        <v>6</v>
      </c>
      <c r="H5" s="25">
        <v>10</v>
      </c>
      <c r="I5" s="25">
        <v>5</v>
      </c>
      <c r="J5" s="26">
        <f t="shared" si="0"/>
        <v>7.666666666666667</v>
      </c>
      <c r="M5" s="23">
        <v>28</v>
      </c>
      <c r="N5" s="24" t="str">
        <f>Alumnos!C31&amp;" "&amp;Alumnos!D31&amp;" "&amp;Alumnos!E31</f>
        <v>Vasquez Chávez Luna Juana</v>
      </c>
      <c r="O5" s="25">
        <v>6</v>
      </c>
      <c r="P5" s="25">
        <v>9</v>
      </c>
      <c r="Q5" s="25">
        <v>8</v>
      </c>
      <c r="R5" s="25">
        <v>5</v>
      </c>
      <c r="S5" s="25">
        <v>9</v>
      </c>
      <c r="T5" s="25">
        <v>5</v>
      </c>
      <c r="U5" s="27">
        <f t="shared" si="1"/>
        <v>7</v>
      </c>
    </row>
    <row r="6" spans="2:21" ht="15.75" customHeight="1">
      <c r="B6" s="23">
        <v>3</v>
      </c>
      <c r="C6" s="24" t="str">
        <f>Alumnos!C6&amp;" "&amp;Alumnos!D6&amp;" "&amp;Alumnos!E6</f>
        <v>Valenzuela Pérez Victor Juan</v>
      </c>
      <c r="D6" s="25">
        <v>5</v>
      </c>
      <c r="E6" s="25">
        <v>9</v>
      </c>
      <c r="F6" s="25">
        <v>10</v>
      </c>
      <c r="G6" s="25">
        <v>8</v>
      </c>
      <c r="H6" s="25">
        <v>9</v>
      </c>
      <c r="I6" s="25">
        <v>5</v>
      </c>
      <c r="J6" s="26">
        <f t="shared" si="0"/>
        <v>7.666666666666667</v>
      </c>
      <c r="M6" s="23">
        <v>29</v>
      </c>
      <c r="N6" s="24" t="str">
        <f>Alumnos!C32&amp;" "&amp;Alumnos!D32&amp;" "&amp;Alumnos!E32</f>
        <v>Rojas Pérez Julia</v>
      </c>
      <c r="O6" s="25">
        <v>9</v>
      </c>
      <c r="P6" s="25">
        <v>10</v>
      </c>
      <c r="Q6" s="25">
        <v>9</v>
      </c>
      <c r="R6" s="25">
        <v>8</v>
      </c>
      <c r="S6" s="25">
        <v>5</v>
      </c>
      <c r="T6" s="25">
        <v>8</v>
      </c>
      <c r="U6" s="27">
        <f t="shared" si="1"/>
        <v>8.1666666666666661</v>
      </c>
    </row>
    <row r="7" spans="2:21" ht="15.75" customHeight="1">
      <c r="B7" s="23">
        <v>4</v>
      </c>
      <c r="C7" s="24" t="str">
        <f>Alumnos!C7&amp;" "&amp;Alumnos!D7&amp;" "&amp;Alumnos!E7</f>
        <v>Gutiérrez Mendoza Felipe</v>
      </c>
      <c r="D7" s="25">
        <v>6</v>
      </c>
      <c r="E7" s="25">
        <v>7</v>
      </c>
      <c r="F7" s="25">
        <v>8</v>
      </c>
      <c r="G7" s="25">
        <v>9</v>
      </c>
      <c r="H7" s="25">
        <v>6</v>
      </c>
      <c r="I7" s="25">
        <v>9</v>
      </c>
      <c r="J7" s="26">
        <f t="shared" si="0"/>
        <v>7.5</v>
      </c>
      <c r="M7" s="23">
        <v>30</v>
      </c>
      <c r="N7" s="24" t="str">
        <f>Alumnos!C33&amp;" "&amp;Alumnos!D33&amp;" "&amp;Alumnos!E33</f>
        <v>Perez Pineda Isabella</v>
      </c>
      <c r="O7" s="25">
        <v>9</v>
      </c>
      <c r="P7" s="25">
        <v>6</v>
      </c>
      <c r="Q7" s="25">
        <v>9</v>
      </c>
      <c r="R7" s="25">
        <v>10</v>
      </c>
      <c r="S7" s="25">
        <v>8</v>
      </c>
      <c r="T7" s="25">
        <v>10</v>
      </c>
      <c r="U7" s="27">
        <f t="shared" si="1"/>
        <v>8.6666666666666661</v>
      </c>
    </row>
    <row r="8" spans="2:21" ht="15.75" customHeight="1">
      <c r="B8" s="23">
        <v>5</v>
      </c>
      <c r="C8" s="24" t="str">
        <f>Alumnos!C8&amp;" "&amp;Alumnos!D8&amp;" "&amp;Alumnos!E8</f>
        <v>Torres Fernández Martin</v>
      </c>
      <c r="D8" s="25">
        <v>7</v>
      </c>
      <c r="E8" s="25">
        <v>10</v>
      </c>
      <c r="F8" s="25">
        <v>8</v>
      </c>
      <c r="G8" s="25">
        <v>10</v>
      </c>
      <c r="H8" s="25">
        <v>8</v>
      </c>
      <c r="I8" s="25">
        <v>8</v>
      </c>
      <c r="J8" s="26">
        <f t="shared" si="0"/>
        <v>8.5</v>
      </c>
      <c r="M8" s="23">
        <v>31</v>
      </c>
      <c r="N8" s="24" t="str">
        <f>Alumnos!C34&amp;" "&amp;Alumnos!D34&amp;" "&amp;Alumnos!E34</f>
        <v>Garcia Moreno Roberto</v>
      </c>
      <c r="O8" s="25">
        <v>9</v>
      </c>
      <c r="P8" s="25">
        <v>10</v>
      </c>
      <c r="Q8" s="25">
        <v>10</v>
      </c>
      <c r="R8" s="25">
        <v>10</v>
      </c>
      <c r="S8" s="25">
        <v>8</v>
      </c>
      <c r="T8" s="25">
        <v>8</v>
      </c>
      <c r="U8" s="27">
        <f t="shared" si="1"/>
        <v>9.1666666666666661</v>
      </c>
    </row>
    <row r="9" spans="2:21" ht="15.75" customHeight="1">
      <c r="B9" s="23">
        <v>6</v>
      </c>
      <c r="C9" s="24" t="str">
        <f>Alumnos!C9&amp;" "&amp;Alumnos!D9&amp;" "&amp;Alumnos!E9</f>
        <v>Delgado Delgado Monica Angelica</v>
      </c>
      <c r="D9" s="25">
        <v>6</v>
      </c>
      <c r="E9" s="25">
        <v>9</v>
      </c>
      <c r="F9" s="25">
        <v>10</v>
      </c>
      <c r="G9" s="25">
        <v>6</v>
      </c>
      <c r="H9" s="25">
        <v>8</v>
      </c>
      <c r="I9" s="25">
        <v>9</v>
      </c>
      <c r="J9" s="26">
        <f t="shared" si="0"/>
        <v>8</v>
      </c>
      <c r="M9" s="23">
        <v>32</v>
      </c>
      <c r="N9" s="24" t="str">
        <f>Alumnos!C35&amp;" "&amp;Alumnos!D35&amp;" "&amp;Alumnos!E35</f>
        <v>Silva Vega Maria</v>
      </c>
      <c r="O9" s="25">
        <v>5</v>
      </c>
      <c r="P9" s="25">
        <v>9</v>
      </c>
      <c r="Q9" s="25">
        <v>10</v>
      </c>
      <c r="R9" s="25">
        <v>6</v>
      </c>
      <c r="S9" s="25">
        <v>7</v>
      </c>
      <c r="T9" s="25">
        <v>10</v>
      </c>
      <c r="U9" s="27">
        <f t="shared" si="1"/>
        <v>7.833333333333333</v>
      </c>
    </row>
    <row r="10" spans="2:21" ht="15.75" customHeight="1">
      <c r="B10" s="23">
        <v>7</v>
      </c>
      <c r="C10" s="24" t="str">
        <f>Alumnos!C10&amp;" "&amp;Alumnos!D10&amp;" "&amp;Alumnos!E10</f>
        <v>Mendoza Santos Ana Sofia</v>
      </c>
      <c r="D10" s="25">
        <v>10</v>
      </c>
      <c r="E10" s="25">
        <v>8</v>
      </c>
      <c r="F10" s="25">
        <v>10</v>
      </c>
      <c r="G10" s="25">
        <v>7</v>
      </c>
      <c r="H10" s="25">
        <v>7</v>
      </c>
      <c r="I10" s="25">
        <v>6</v>
      </c>
      <c r="J10" s="26">
        <f t="shared" si="0"/>
        <v>8</v>
      </c>
      <c r="M10" s="23">
        <v>33</v>
      </c>
      <c r="N10" s="24" t="str">
        <f>Alumnos!C36&amp;" "&amp;Alumnos!D36&amp;" "&amp;Alumnos!E36</f>
        <v>Salazar Rodríguez Raquel Sofia</v>
      </c>
      <c r="O10" s="25">
        <v>10</v>
      </c>
      <c r="P10" s="25">
        <v>7</v>
      </c>
      <c r="Q10" s="25">
        <v>10</v>
      </c>
      <c r="R10" s="25">
        <v>10</v>
      </c>
      <c r="S10" s="25">
        <v>6</v>
      </c>
      <c r="T10" s="25">
        <v>6</v>
      </c>
      <c r="U10" s="27">
        <f t="shared" si="1"/>
        <v>8.1666666666666661</v>
      </c>
    </row>
    <row r="11" spans="2:21" ht="15.75" customHeight="1">
      <c r="B11" s="23">
        <v>8</v>
      </c>
      <c r="C11" s="24" t="str">
        <f>Alumnos!C11&amp;" "&amp;Alumnos!D11&amp;" "&amp;Alumnos!E11</f>
        <v>Martínez Suárez Sofia</v>
      </c>
      <c r="D11" s="25">
        <v>10</v>
      </c>
      <c r="E11" s="25">
        <v>8</v>
      </c>
      <c r="F11" s="25">
        <v>10</v>
      </c>
      <c r="G11" s="25">
        <v>5</v>
      </c>
      <c r="H11" s="25">
        <v>6</v>
      </c>
      <c r="I11" s="25">
        <v>6</v>
      </c>
      <c r="J11" s="26">
        <f t="shared" si="0"/>
        <v>7.5</v>
      </c>
      <c r="M11" s="23">
        <v>34</v>
      </c>
      <c r="N11" s="24" t="str">
        <f>Alumnos!C37&amp;" "&amp;Alumnos!D37&amp;" "&amp;Alumnos!E37</f>
        <v>Herrera Flores Daniela Noemi</v>
      </c>
      <c r="O11" s="25">
        <v>8</v>
      </c>
      <c r="P11" s="25">
        <v>10</v>
      </c>
      <c r="Q11" s="25">
        <v>8</v>
      </c>
      <c r="R11" s="25">
        <v>6</v>
      </c>
      <c r="S11" s="25">
        <v>9</v>
      </c>
      <c r="T11" s="25">
        <v>10</v>
      </c>
      <c r="U11" s="27">
        <f t="shared" si="1"/>
        <v>8.5</v>
      </c>
    </row>
    <row r="12" spans="2:21" ht="15.75" customHeight="1">
      <c r="B12" s="23">
        <v>9</v>
      </c>
      <c r="C12" s="24" t="str">
        <f>Alumnos!C12&amp;" "&amp;Alumnos!D12&amp;" "&amp;Alumnos!E12</f>
        <v>Gutiérrez Cabrera Maria</v>
      </c>
      <c r="D12" s="25">
        <v>9</v>
      </c>
      <c r="E12" s="25">
        <v>10</v>
      </c>
      <c r="F12" s="25">
        <v>8</v>
      </c>
      <c r="G12" s="25">
        <v>10</v>
      </c>
      <c r="H12" s="25">
        <v>10</v>
      </c>
      <c r="I12" s="25">
        <v>9</v>
      </c>
      <c r="J12" s="26">
        <f t="shared" si="0"/>
        <v>9.3333333333333339</v>
      </c>
      <c r="M12" s="23">
        <v>35</v>
      </c>
      <c r="N12" s="24" t="str">
        <f>Alumnos!C38&amp;" "&amp;Alumnos!D38&amp;" "&amp;Alumnos!E38</f>
        <v>Silva Cruz Sofia</v>
      </c>
      <c r="O12" s="25">
        <v>7</v>
      </c>
      <c r="P12" s="25">
        <v>8</v>
      </c>
      <c r="Q12" s="25">
        <v>10</v>
      </c>
      <c r="R12" s="25">
        <v>6</v>
      </c>
      <c r="S12" s="25">
        <v>9</v>
      </c>
      <c r="T12" s="25">
        <v>8</v>
      </c>
      <c r="U12" s="27">
        <f t="shared" si="1"/>
        <v>8</v>
      </c>
    </row>
    <row r="13" spans="2:21" ht="15.75" customHeight="1">
      <c r="B13" s="23">
        <v>10</v>
      </c>
      <c r="C13" s="24" t="str">
        <f>Alumnos!C13&amp;" "&amp;Alumnos!D13&amp;" "&amp;Alumnos!E13</f>
        <v>Rojas Castillo Daniela</v>
      </c>
      <c r="D13" s="25">
        <v>10</v>
      </c>
      <c r="E13" s="25">
        <v>8</v>
      </c>
      <c r="F13" s="25">
        <v>5</v>
      </c>
      <c r="G13" s="25">
        <v>10</v>
      </c>
      <c r="H13" s="25">
        <v>5</v>
      </c>
      <c r="I13" s="25">
        <v>8</v>
      </c>
      <c r="J13" s="26">
        <f t="shared" si="0"/>
        <v>7.666666666666667</v>
      </c>
      <c r="M13" s="23">
        <v>36</v>
      </c>
      <c r="N13" s="24" t="str">
        <f>Alumnos!C39&amp;" "&amp;Alumnos!D39&amp;" "&amp;Alumnos!E39</f>
        <v>Alvaréz Pérez Julian</v>
      </c>
      <c r="O13" s="25">
        <v>8</v>
      </c>
      <c r="P13" s="25">
        <v>10</v>
      </c>
      <c r="Q13" s="25">
        <v>7</v>
      </c>
      <c r="R13" s="25">
        <v>8</v>
      </c>
      <c r="S13" s="25">
        <v>7</v>
      </c>
      <c r="T13" s="25">
        <v>9</v>
      </c>
      <c r="U13" s="27">
        <f t="shared" si="1"/>
        <v>8.1666666666666661</v>
      </c>
    </row>
    <row r="14" spans="2:21" ht="15.75" customHeight="1">
      <c r="B14" s="23">
        <v>11</v>
      </c>
      <c r="C14" s="24" t="str">
        <f>Alumnos!C14&amp;" "&amp;Alumnos!D14&amp;" "&amp;Alumnos!E14</f>
        <v>Rojas González Esteban</v>
      </c>
      <c r="D14" s="25">
        <v>9</v>
      </c>
      <c r="E14" s="25">
        <v>7</v>
      </c>
      <c r="F14" s="25">
        <v>6</v>
      </c>
      <c r="G14" s="25">
        <v>5</v>
      </c>
      <c r="H14" s="25">
        <v>8</v>
      </c>
      <c r="I14" s="25">
        <v>7</v>
      </c>
      <c r="J14" s="26">
        <f t="shared" si="0"/>
        <v>7</v>
      </c>
      <c r="M14" s="23">
        <v>37</v>
      </c>
      <c r="N14" s="24" t="str">
        <f>Alumnos!C40&amp;" "&amp;Alumnos!D40&amp;" "&amp;Alumnos!E40</f>
        <v>Cardenas Cadena Noemi Marisol</v>
      </c>
      <c r="O14" s="25">
        <v>9</v>
      </c>
      <c r="P14" s="25">
        <v>5</v>
      </c>
      <c r="Q14" s="25">
        <v>8</v>
      </c>
      <c r="R14" s="25">
        <v>9</v>
      </c>
      <c r="S14" s="25">
        <v>6</v>
      </c>
      <c r="T14" s="25">
        <v>10</v>
      </c>
      <c r="U14" s="27">
        <f t="shared" si="1"/>
        <v>7.833333333333333</v>
      </c>
    </row>
    <row r="15" spans="2:21" ht="15.75" customHeight="1">
      <c r="B15" s="23">
        <v>12</v>
      </c>
      <c r="C15" s="24" t="str">
        <f>Alumnos!C15&amp;" "&amp;Alumnos!D15&amp;" "&amp;Alumnos!E15</f>
        <v>Salazar Pérez Javier Jesús</v>
      </c>
      <c r="D15" s="25">
        <v>8</v>
      </c>
      <c r="E15" s="25">
        <v>7</v>
      </c>
      <c r="F15" s="25">
        <v>10</v>
      </c>
      <c r="G15" s="25">
        <v>7</v>
      </c>
      <c r="H15" s="25">
        <v>8</v>
      </c>
      <c r="I15" s="25">
        <v>5</v>
      </c>
      <c r="J15" s="26">
        <f t="shared" si="0"/>
        <v>7.5</v>
      </c>
    </row>
    <row r="16" spans="2:21" ht="15.75" customHeight="1"/>
    <row r="17" spans="2:21" ht="15.75" customHeight="1">
      <c r="B17" s="68" t="s">
        <v>128</v>
      </c>
      <c r="C17" s="69"/>
      <c r="D17" s="74" t="s">
        <v>130</v>
      </c>
      <c r="E17" s="71"/>
      <c r="F17" s="71"/>
      <c r="G17" s="71"/>
      <c r="H17" s="71"/>
      <c r="I17" s="71"/>
      <c r="J17" s="72"/>
      <c r="M17" s="68" t="s">
        <v>128</v>
      </c>
      <c r="N17" s="69"/>
      <c r="O17" s="73" t="s">
        <v>138</v>
      </c>
      <c r="P17" s="71"/>
      <c r="Q17" s="71"/>
      <c r="R17" s="71"/>
      <c r="S17" s="71"/>
      <c r="T17" s="71"/>
      <c r="U17" s="72"/>
    </row>
    <row r="18" spans="2:21" ht="78">
      <c r="B18" s="28" t="s">
        <v>1</v>
      </c>
      <c r="C18" s="29" t="s">
        <v>4</v>
      </c>
      <c r="D18" s="30" t="s">
        <v>131</v>
      </c>
      <c r="E18" s="30" t="s">
        <v>132</v>
      </c>
      <c r="F18" s="30" t="s">
        <v>133</v>
      </c>
      <c r="G18" s="30" t="s">
        <v>134</v>
      </c>
      <c r="H18" s="30" t="s">
        <v>135</v>
      </c>
      <c r="I18" s="30" t="s">
        <v>136</v>
      </c>
      <c r="J18" s="30" t="s">
        <v>137</v>
      </c>
      <c r="M18" s="20" t="s">
        <v>1</v>
      </c>
      <c r="N18" s="21" t="s">
        <v>4</v>
      </c>
      <c r="O18" s="22" t="s">
        <v>131</v>
      </c>
      <c r="P18" s="22" t="s">
        <v>132</v>
      </c>
      <c r="Q18" s="22" t="s">
        <v>133</v>
      </c>
      <c r="R18" s="22" t="s">
        <v>134</v>
      </c>
      <c r="S18" s="22" t="s">
        <v>135</v>
      </c>
      <c r="T18" s="22" t="s">
        <v>136</v>
      </c>
      <c r="U18" s="22" t="s">
        <v>137</v>
      </c>
    </row>
    <row r="19" spans="2:21" ht="15.75" customHeight="1">
      <c r="B19" s="23">
        <v>13</v>
      </c>
      <c r="C19" s="24" t="str">
        <f>Alumnos!C16&amp;" "&amp;Alumnos!D16&amp;" "&amp;Alumnos!E16</f>
        <v>Silva Castillo Ricardo</v>
      </c>
      <c r="D19" s="25">
        <v>10</v>
      </c>
      <c r="E19" s="25">
        <v>7</v>
      </c>
      <c r="F19" s="25">
        <v>6</v>
      </c>
      <c r="G19" s="25">
        <v>9</v>
      </c>
      <c r="H19" s="25">
        <v>8</v>
      </c>
      <c r="I19" s="25">
        <v>7</v>
      </c>
      <c r="J19" s="27">
        <f t="shared" ref="J19:J32" si="2">AVERAGE(D19:I19)</f>
        <v>7.833333333333333</v>
      </c>
      <c r="M19" s="23">
        <v>27</v>
      </c>
      <c r="N19" s="24" t="str">
        <f>Alumnos!C30&amp;" "&amp;Alumnos!D30&amp;" "&amp;Alumnos!E30</f>
        <v>Escobar Pineda Miguel Luis</v>
      </c>
      <c r="O19" s="25">
        <v>9</v>
      </c>
      <c r="P19" s="25">
        <v>10</v>
      </c>
      <c r="Q19" s="25">
        <v>8</v>
      </c>
      <c r="R19" s="25">
        <v>10</v>
      </c>
      <c r="S19" s="25">
        <v>10</v>
      </c>
      <c r="T19" s="25">
        <v>9</v>
      </c>
      <c r="U19" s="31">
        <f t="shared" ref="U19:U29" si="3">AVERAGE(O19:T19)</f>
        <v>9.3333333333333339</v>
      </c>
    </row>
    <row r="20" spans="2:21" ht="15.75" customHeight="1">
      <c r="B20" s="23">
        <v>14</v>
      </c>
      <c r="C20" s="24" t="str">
        <f>Alumnos!C17&amp;" "&amp;Alumnos!D17&amp;" "&amp;Alumnos!E17</f>
        <v>Chávez Pérez Camila</v>
      </c>
      <c r="D20" s="25">
        <v>8</v>
      </c>
      <c r="E20" s="25">
        <v>9</v>
      </c>
      <c r="F20" s="25">
        <v>10</v>
      </c>
      <c r="G20" s="25">
        <v>10</v>
      </c>
      <c r="H20" s="25">
        <v>10</v>
      </c>
      <c r="I20" s="25">
        <v>7</v>
      </c>
      <c r="J20" s="27">
        <f t="shared" si="2"/>
        <v>9</v>
      </c>
      <c r="M20" s="23">
        <v>28</v>
      </c>
      <c r="N20" s="24" t="str">
        <f>Alumnos!C31&amp;" "&amp;Alumnos!D31&amp;" "&amp;Alumnos!E31</f>
        <v>Vasquez Chávez Luna Juana</v>
      </c>
      <c r="O20" s="25">
        <v>8</v>
      </c>
      <c r="P20" s="25">
        <v>8</v>
      </c>
      <c r="Q20" s="25">
        <v>10</v>
      </c>
      <c r="R20" s="25">
        <v>10</v>
      </c>
      <c r="S20" s="25">
        <v>8</v>
      </c>
      <c r="T20" s="25">
        <v>8</v>
      </c>
      <c r="U20" s="31">
        <f t="shared" si="3"/>
        <v>8.6666666666666661</v>
      </c>
    </row>
    <row r="21" spans="2:21" ht="15.75" customHeight="1">
      <c r="B21" s="23">
        <v>15</v>
      </c>
      <c r="C21" s="24" t="str">
        <f>Alumnos!C18&amp;" "&amp;Alumnos!D18&amp;" "&amp;Alumnos!E18</f>
        <v>Santos Vásquez Paula</v>
      </c>
      <c r="D21" s="25">
        <v>9</v>
      </c>
      <c r="E21" s="25">
        <v>10</v>
      </c>
      <c r="F21" s="25">
        <v>7</v>
      </c>
      <c r="G21" s="25">
        <v>10</v>
      </c>
      <c r="H21" s="25">
        <v>10</v>
      </c>
      <c r="I21" s="25">
        <v>9</v>
      </c>
      <c r="J21" s="27">
        <f t="shared" si="2"/>
        <v>9.1666666666666661</v>
      </c>
      <c r="M21" s="23">
        <v>29</v>
      </c>
      <c r="N21" s="24" t="str">
        <f>Alumnos!C32&amp;" "&amp;Alumnos!D32&amp;" "&amp;Alumnos!E32</f>
        <v>Rojas Pérez Julia</v>
      </c>
      <c r="O21" s="25">
        <v>6</v>
      </c>
      <c r="P21" s="25">
        <v>7</v>
      </c>
      <c r="Q21" s="25">
        <v>8</v>
      </c>
      <c r="R21" s="25">
        <v>9</v>
      </c>
      <c r="S21" s="25">
        <v>10</v>
      </c>
      <c r="T21" s="25">
        <v>9</v>
      </c>
      <c r="U21" s="31">
        <f t="shared" si="3"/>
        <v>8.1666666666666661</v>
      </c>
    </row>
    <row r="22" spans="2:21" ht="15.75" customHeight="1">
      <c r="B22" s="23">
        <v>16</v>
      </c>
      <c r="C22" s="24" t="str">
        <f>Alumnos!C19&amp;" "&amp;Alumnos!D19&amp;" "&amp;Alumnos!E19</f>
        <v>Peralta Rojas Isabella</v>
      </c>
      <c r="D22" s="25">
        <v>8</v>
      </c>
      <c r="E22" s="25">
        <v>5</v>
      </c>
      <c r="F22" s="25">
        <v>9</v>
      </c>
      <c r="G22" s="25">
        <v>8</v>
      </c>
      <c r="H22" s="25">
        <v>7</v>
      </c>
      <c r="I22" s="25">
        <v>6</v>
      </c>
      <c r="J22" s="27">
        <f t="shared" si="2"/>
        <v>7.166666666666667</v>
      </c>
      <c r="M22" s="23">
        <v>30</v>
      </c>
      <c r="N22" s="24" t="str">
        <f>Alumnos!C33&amp;" "&amp;Alumnos!D33&amp;" "&amp;Alumnos!E33</f>
        <v>Perez Pineda Isabella</v>
      </c>
      <c r="O22" s="25">
        <v>5</v>
      </c>
      <c r="P22" s="25">
        <v>10</v>
      </c>
      <c r="Q22" s="25">
        <v>5</v>
      </c>
      <c r="R22" s="25">
        <v>7</v>
      </c>
      <c r="S22" s="25">
        <v>9</v>
      </c>
      <c r="T22" s="25">
        <v>7</v>
      </c>
      <c r="U22" s="31">
        <f t="shared" si="3"/>
        <v>7.166666666666667</v>
      </c>
    </row>
    <row r="23" spans="2:21" ht="15.75" customHeight="1">
      <c r="B23" s="23">
        <v>17</v>
      </c>
      <c r="C23" s="24" t="str">
        <f>Alumnos!C20&amp;" "&amp;Alumnos!D20&amp;" "&amp;Alumnos!E20</f>
        <v>Reyes López Francisco Alberto</v>
      </c>
      <c r="D23" s="25">
        <v>10</v>
      </c>
      <c r="E23" s="25">
        <v>7</v>
      </c>
      <c r="F23" s="25">
        <v>8</v>
      </c>
      <c r="G23" s="25">
        <v>7</v>
      </c>
      <c r="H23" s="25">
        <v>7</v>
      </c>
      <c r="I23" s="25">
        <v>6</v>
      </c>
      <c r="J23" s="27">
        <f t="shared" si="2"/>
        <v>7.5</v>
      </c>
      <c r="M23" s="23">
        <v>31</v>
      </c>
      <c r="N23" s="24" t="str">
        <f>Alumnos!C34&amp;" "&amp;Alumnos!D34&amp;" "&amp;Alumnos!E34</f>
        <v>Garcia Moreno Roberto</v>
      </c>
      <c r="O23" s="25">
        <v>10</v>
      </c>
      <c r="P23" s="25">
        <v>8</v>
      </c>
      <c r="Q23" s="25">
        <v>6</v>
      </c>
      <c r="R23" s="25">
        <v>5</v>
      </c>
      <c r="S23" s="25">
        <v>7</v>
      </c>
      <c r="T23" s="25">
        <v>9</v>
      </c>
      <c r="U23" s="31">
        <f t="shared" si="3"/>
        <v>7.5</v>
      </c>
    </row>
    <row r="24" spans="2:21" ht="15.75" customHeight="1">
      <c r="B24" s="23">
        <v>18</v>
      </c>
      <c r="C24" s="24" t="str">
        <f>Alumnos!C21&amp;" "&amp;Alumnos!D21&amp;" "&amp;Alumnos!E21</f>
        <v>Jiménez Chávez Diana Carla</v>
      </c>
      <c r="D24" s="25">
        <v>7</v>
      </c>
      <c r="E24" s="25">
        <v>10</v>
      </c>
      <c r="F24" s="25">
        <v>9</v>
      </c>
      <c r="G24" s="25">
        <v>9</v>
      </c>
      <c r="H24" s="25">
        <v>7</v>
      </c>
      <c r="I24" s="25">
        <v>8</v>
      </c>
      <c r="J24" s="27">
        <f t="shared" si="2"/>
        <v>8.3333333333333339</v>
      </c>
      <c r="M24" s="23">
        <v>32</v>
      </c>
      <c r="N24" s="24" t="str">
        <f>Alumnos!C35&amp;" "&amp;Alumnos!D35&amp;" "&amp;Alumnos!E35</f>
        <v>Silva Vega Maria</v>
      </c>
      <c r="O24" s="25">
        <v>10</v>
      </c>
      <c r="P24" s="25">
        <v>9</v>
      </c>
      <c r="Q24" s="25">
        <v>10</v>
      </c>
      <c r="R24" s="25">
        <v>9</v>
      </c>
      <c r="S24" s="25">
        <v>6</v>
      </c>
      <c r="T24" s="25">
        <v>10</v>
      </c>
      <c r="U24" s="31">
        <f t="shared" si="3"/>
        <v>9</v>
      </c>
    </row>
    <row r="25" spans="2:21" ht="15.75" customHeight="1">
      <c r="B25" s="23">
        <v>19</v>
      </c>
      <c r="C25" s="24" t="str">
        <f>Alumnos!C22&amp;" "&amp;Alumnos!D22&amp;" "&amp;Alumnos!E22</f>
        <v>Morales Romero Ana</v>
      </c>
      <c r="D25" s="25">
        <v>8</v>
      </c>
      <c r="E25" s="25">
        <v>6</v>
      </c>
      <c r="F25" s="25">
        <v>5</v>
      </c>
      <c r="G25" s="25">
        <v>8</v>
      </c>
      <c r="H25" s="25">
        <v>10</v>
      </c>
      <c r="I25" s="25">
        <v>7</v>
      </c>
      <c r="J25" s="27">
        <f t="shared" si="2"/>
        <v>7.333333333333333</v>
      </c>
      <c r="M25" s="23">
        <v>33</v>
      </c>
      <c r="N25" s="24" t="str">
        <f>Alumnos!C36&amp;" "&amp;Alumnos!D36&amp;" "&amp;Alumnos!E36</f>
        <v>Salazar Rodríguez Raquel Sofia</v>
      </c>
      <c r="O25" s="25">
        <v>6</v>
      </c>
      <c r="P25" s="25">
        <v>9</v>
      </c>
      <c r="Q25" s="25">
        <v>9</v>
      </c>
      <c r="R25" s="25">
        <v>9</v>
      </c>
      <c r="S25" s="25">
        <v>9</v>
      </c>
      <c r="T25" s="25">
        <v>10</v>
      </c>
      <c r="U25" s="31">
        <f t="shared" si="3"/>
        <v>8.6666666666666661</v>
      </c>
    </row>
    <row r="26" spans="2:21" ht="15.75" customHeight="1">
      <c r="B26" s="23">
        <v>20</v>
      </c>
      <c r="C26" s="24" t="str">
        <f>Alumnos!C23&amp;" "&amp;Alumnos!D23&amp;" "&amp;Alumnos!E23</f>
        <v>Silva Aguilar Victor</v>
      </c>
      <c r="D26" s="25">
        <v>9</v>
      </c>
      <c r="E26" s="25">
        <v>6</v>
      </c>
      <c r="F26" s="25">
        <v>10</v>
      </c>
      <c r="G26" s="25">
        <v>10</v>
      </c>
      <c r="H26" s="25">
        <v>8</v>
      </c>
      <c r="I26" s="25">
        <v>5</v>
      </c>
      <c r="J26" s="27">
        <f t="shared" si="2"/>
        <v>8</v>
      </c>
      <c r="M26" s="23">
        <v>34</v>
      </c>
      <c r="N26" s="24" t="str">
        <f>Alumnos!C37&amp;" "&amp;Alumnos!D37&amp;" "&amp;Alumnos!E37</f>
        <v>Herrera Flores Daniela Noemi</v>
      </c>
      <c r="O26" s="25">
        <v>7</v>
      </c>
      <c r="P26" s="25">
        <v>8</v>
      </c>
      <c r="Q26" s="25">
        <v>9</v>
      </c>
      <c r="R26" s="25">
        <v>10</v>
      </c>
      <c r="S26" s="25">
        <v>5</v>
      </c>
      <c r="T26" s="25">
        <v>10</v>
      </c>
      <c r="U26" s="31">
        <f t="shared" si="3"/>
        <v>8.1666666666666661</v>
      </c>
    </row>
    <row r="27" spans="2:21" ht="15.75" customHeight="1">
      <c r="B27" s="23">
        <v>21</v>
      </c>
      <c r="C27" s="24" t="str">
        <f>Alumnos!C24&amp;" "&amp;Alumnos!D24&amp;" "&amp;Alumnos!E24</f>
        <v>Álvarez Mendoza Lucia</v>
      </c>
      <c r="D27" s="25">
        <v>7</v>
      </c>
      <c r="E27" s="25">
        <v>10</v>
      </c>
      <c r="F27" s="25">
        <v>10</v>
      </c>
      <c r="G27" s="25">
        <v>8</v>
      </c>
      <c r="H27" s="25">
        <v>9</v>
      </c>
      <c r="I27" s="25">
        <v>9</v>
      </c>
      <c r="J27" s="27">
        <f t="shared" si="2"/>
        <v>8.8333333333333339</v>
      </c>
      <c r="M27" s="23">
        <v>35</v>
      </c>
      <c r="N27" s="24" t="str">
        <f>Alumnos!C38&amp;" "&amp;Alumnos!D38&amp;" "&amp;Alumnos!E38</f>
        <v>Silva Cruz Sofia</v>
      </c>
      <c r="O27" s="25">
        <v>9</v>
      </c>
      <c r="P27" s="25">
        <v>10</v>
      </c>
      <c r="Q27" s="25">
        <v>8</v>
      </c>
      <c r="R27" s="25">
        <v>7</v>
      </c>
      <c r="S27" s="25">
        <v>6</v>
      </c>
      <c r="T27" s="25">
        <v>9</v>
      </c>
      <c r="U27" s="31">
        <f t="shared" si="3"/>
        <v>8.1666666666666661</v>
      </c>
    </row>
    <row r="28" spans="2:21" ht="15.75" customHeight="1">
      <c r="B28" s="23">
        <v>22</v>
      </c>
      <c r="C28" s="24" t="str">
        <f>Alumnos!C25&amp;" "&amp;Alumnos!D25&amp;" "&amp;Alumnos!E25</f>
        <v>Vega Martínez Carmen María</v>
      </c>
      <c r="D28" s="25">
        <v>8</v>
      </c>
      <c r="E28" s="25">
        <v>10</v>
      </c>
      <c r="F28" s="25">
        <v>6</v>
      </c>
      <c r="G28" s="25">
        <v>5</v>
      </c>
      <c r="H28" s="25">
        <v>9</v>
      </c>
      <c r="I28" s="25">
        <v>7</v>
      </c>
      <c r="J28" s="27">
        <f t="shared" si="2"/>
        <v>7.5</v>
      </c>
      <c r="M28" s="23">
        <v>36</v>
      </c>
      <c r="N28" s="24" t="str">
        <f>Alumnos!C39&amp;" "&amp;Alumnos!D39&amp;" "&amp;Alumnos!E39</f>
        <v>Alvaréz Pérez Julian</v>
      </c>
      <c r="O28" s="25">
        <v>9</v>
      </c>
      <c r="P28" s="25">
        <v>10</v>
      </c>
      <c r="Q28" s="25">
        <v>7</v>
      </c>
      <c r="R28" s="25">
        <v>8</v>
      </c>
      <c r="S28" s="25">
        <v>10</v>
      </c>
      <c r="T28" s="25">
        <v>9</v>
      </c>
      <c r="U28" s="31">
        <f t="shared" si="3"/>
        <v>8.8333333333333339</v>
      </c>
    </row>
    <row r="29" spans="2:21" ht="15.75" customHeight="1">
      <c r="B29" s="23">
        <v>23</v>
      </c>
      <c r="C29" s="24" t="str">
        <f>Alumnos!C26&amp;" "&amp;Alumnos!D26&amp;" "&amp;Alumnos!E26</f>
        <v>Castillo Chávez Elena Natalia</v>
      </c>
      <c r="D29" s="25">
        <v>10</v>
      </c>
      <c r="E29" s="25">
        <v>9</v>
      </c>
      <c r="F29" s="25">
        <v>8</v>
      </c>
      <c r="G29" s="25">
        <v>9</v>
      </c>
      <c r="H29" s="25">
        <v>8</v>
      </c>
      <c r="I29" s="25">
        <v>8</v>
      </c>
      <c r="J29" s="27">
        <f t="shared" si="2"/>
        <v>8.6666666666666661</v>
      </c>
      <c r="M29" s="23">
        <v>37</v>
      </c>
      <c r="N29" s="24" t="str">
        <f>Alumnos!C40&amp;" "&amp;Alumnos!D40&amp;" "&amp;Alumnos!E40</f>
        <v>Cardenas Cadena Noemi Marisol</v>
      </c>
      <c r="O29" s="25">
        <v>9</v>
      </c>
      <c r="P29" s="25">
        <v>5</v>
      </c>
      <c r="Q29" s="25">
        <v>10</v>
      </c>
      <c r="R29" s="25">
        <v>9</v>
      </c>
      <c r="S29" s="25">
        <v>9</v>
      </c>
      <c r="T29" s="25">
        <v>10</v>
      </c>
      <c r="U29" s="31">
        <f t="shared" si="3"/>
        <v>8.6666666666666661</v>
      </c>
    </row>
    <row r="30" spans="2:21" ht="15.75" customHeight="1">
      <c r="B30" s="23">
        <v>24</v>
      </c>
      <c r="C30" s="24" t="str">
        <f>Alumnos!C27&amp;" "&amp;Alumnos!D27&amp;" "&amp;Alumnos!E27</f>
        <v>Cruz Silva Paula</v>
      </c>
      <c r="D30" s="25">
        <v>10</v>
      </c>
      <c r="E30" s="25">
        <v>9</v>
      </c>
      <c r="F30" s="25">
        <v>10</v>
      </c>
      <c r="G30" s="25">
        <v>9</v>
      </c>
      <c r="H30" s="25">
        <v>6</v>
      </c>
      <c r="I30" s="25">
        <v>9</v>
      </c>
      <c r="J30" s="27">
        <f t="shared" si="2"/>
        <v>8.8333333333333339</v>
      </c>
    </row>
    <row r="31" spans="2:21" ht="15.75" customHeight="1">
      <c r="B31" s="23">
        <v>25</v>
      </c>
      <c r="C31" s="24" t="str">
        <f>Alumnos!C28&amp;" "&amp;Alumnos!D28&amp;" "&amp;Alumnos!E28</f>
        <v>Rodríguez Ibarra Juan Felipe</v>
      </c>
      <c r="D31" s="25">
        <v>9</v>
      </c>
      <c r="E31" s="25">
        <v>10</v>
      </c>
      <c r="F31" s="25">
        <v>9</v>
      </c>
      <c r="G31" s="25">
        <v>9</v>
      </c>
      <c r="H31" s="25">
        <v>8</v>
      </c>
      <c r="I31" s="25">
        <v>9</v>
      </c>
      <c r="J31" s="27">
        <f t="shared" si="2"/>
        <v>9</v>
      </c>
    </row>
    <row r="32" spans="2:21" ht="15.75" customHeight="1">
      <c r="B32" s="23">
        <v>26</v>
      </c>
      <c r="C32" s="24" t="str">
        <f>Alumnos!C29&amp;" "&amp;Alumnos!D29&amp;" "&amp;Alumnos!E29</f>
        <v>Campos Gómez Sara</v>
      </c>
      <c r="D32" s="25">
        <v>7</v>
      </c>
      <c r="E32" s="25">
        <v>10</v>
      </c>
      <c r="F32" s="25">
        <v>10</v>
      </c>
      <c r="G32" s="25">
        <v>9</v>
      </c>
      <c r="H32" s="25">
        <v>10</v>
      </c>
      <c r="I32" s="25">
        <v>10</v>
      </c>
      <c r="J32" s="27">
        <f t="shared" si="2"/>
        <v>9.3333333333333339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B2:C2"/>
    <mergeCell ref="D2:J2"/>
    <mergeCell ref="M2:N2"/>
    <mergeCell ref="O2:U2"/>
    <mergeCell ref="B17:C17"/>
    <mergeCell ref="D17:J17"/>
    <mergeCell ref="M17:N17"/>
    <mergeCell ref="O17:U17"/>
  </mergeCells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Asistencia"/>
  <dimension ref="B1:U1000"/>
  <sheetViews>
    <sheetView topLeftCell="A2" workbookViewId="0">
      <selection activeCell="A5" sqref="A5"/>
    </sheetView>
  </sheetViews>
  <sheetFormatPr baseColWidth="10" defaultColWidth="11.21875" defaultRowHeight="15" customHeight="1"/>
  <cols>
    <col min="1" max="2" width="10.44140625" customWidth="1"/>
    <col min="3" max="4" width="9.21875" customWidth="1"/>
    <col min="5" max="5" width="10.33203125" customWidth="1"/>
    <col min="6" max="17" width="4.109375" customWidth="1"/>
    <col min="18" max="26" width="10.44140625" customWidth="1"/>
  </cols>
  <sheetData>
    <row r="1" spans="2:21" ht="15.75" customHeight="1"/>
    <row r="2" spans="2:21" ht="15.75" customHeight="1">
      <c r="B2" s="32" t="s">
        <v>8</v>
      </c>
      <c r="C2" s="33">
        <v>2</v>
      </c>
      <c r="T2" s="34" t="s">
        <v>139</v>
      </c>
      <c r="U2" s="35" t="s">
        <v>140</v>
      </c>
    </row>
    <row r="3" spans="2:21" ht="15.75" customHeight="1">
      <c r="B3" s="32" t="s">
        <v>9</v>
      </c>
      <c r="C3" s="36" t="str">
        <f>C2&amp;"°"&amp;"A"</f>
        <v>2°A</v>
      </c>
      <c r="T3" s="34" t="s">
        <v>141</v>
      </c>
      <c r="U3" s="35" t="s">
        <v>142</v>
      </c>
    </row>
    <row r="4" spans="2:21" ht="15.75" customHeight="1"/>
    <row r="5" spans="2:21" ht="21" customHeight="1">
      <c r="B5" s="75" t="s">
        <v>1</v>
      </c>
      <c r="C5" s="83" t="s">
        <v>4</v>
      </c>
      <c r="D5" s="84"/>
      <c r="E5" s="85"/>
      <c r="F5" s="78" t="s">
        <v>143</v>
      </c>
      <c r="G5" s="71"/>
      <c r="H5" s="71"/>
      <c r="I5" s="71"/>
      <c r="J5" s="71"/>
      <c r="K5" s="71"/>
      <c r="L5" s="71"/>
      <c r="M5" s="71"/>
      <c r="N5" s="71"/>
      <c r="O5" s="71"/>
      <c r="P5" s="71"/>
      <c r="Q5" s="72"/>
      <c r="R5" s="79" t="s">
        <v>144</v>
      </c>
      <c r="S5" s="80" t="s">
        <v>145</v>
      </c>
    </row>
    <row r="6" spans="2:21" ht="21" customHeight="1">
      <c r="B6" s="76"/>
      <c r="C6" s="86"/>
      <c r="D6" s="87"/>
      <c r="E6" s="88"/>
      <c r="F6" s="81" t="s">
        <v>146</v>
      </c>
      <c r="G6" s="72"/>
      <c r="H6" s="81" t="s">
        <v>147</v>
      </c>
      <c r="I6" s="71"/>
      <c r="J6" s="71"/>
      <c r="K6" s="71"/>
      <c r="L6" s="72"/>
      <c r="M6" s="81" t="s">
        <v>148</v>
      </c>
      <c r="N6" s="71"/>
      <c r="O6" s="71"/>
      <c r="P6" s="71"/>
      <c r="Q6" s="72"/>
      <c r="R6" s="76"/>
      <c r="S6" s="76"/>
    </row>
    <row r="7" spans="2:21" ht="21" customHeight="1">
      <c r="B7" s="76"/>
      <c r="C7" s="86"/>
      <c r="D7" s="87"/>
      <c r="E7" s="88"/>
      <c r="F7" s="37" t="s">
        <v>149</v>
      </c>
      <c r="G7" s="37" t="s">
        <v>150</v>
      </c>
      <c r="H7" s="37" t="s">
        <v>151</v>
      </c>
      <c r="I7" s="37" t="s">
        <v>152</v>
      </c>
      <c r="J7" s="37" t="s">
        <v>153</v>
      </c>
      <c r="K7" s="37" t="s">
        <v>149</v>
      </c>
      <c r="L7" s="37" t="s">
        <v>150</v>
      </c>
      <c r="M7" s="37" t="s">
        <v>151</v>
      </c>
      <c r="N7" s="37" t="s">
        <v>152</v>
      </c>
      <c r="O7" s="37" t="s">
        <v>153</v>
      </c>
      <c r="P7" s="37" t="s">
        <v>149</v>
      </c>
      <c r="Q7" s="37" t="s">
        <v>150</v>
      </c>
      <c r="R7" s="76"/>
      <c r="S7" s="76"/>
    </row>
    <row r="8" spans="2:21" ht="15.75" customHeight="1">
      <c r="B8" s="77"/>
      <c r="C8" s="89"/>
      <c r="D8" s="90"/>
      <c r="E8" s="91"/>
      <c r="F8" s="37">
        <v>16</v>
      </c>
      <c r="G8" s="37">
        <v>17</v>
      </c>
      <c r="H8" s="37">
        <v>20</v>
      </c>
      <c r="I8" s="37">
        <v>21</v>
      </c>
      <c r="J8" s="37">
        <v>22</v>
      </c>
      <c r="K8" s="37">
        <v>23</v>
      </c>
      <c r="L8" s="37">
        <v>24</v>
      </c>
      <c r="M8" s="37">
        <v>27</v>
      </c>
      <c r="N8" s="37">
        <v>28</v>
      </c>
      <c r="O8" s="37">
        <v>29</v>
      </c>
      <c r="P8" s="37">
        <v>30</v>
      </c>
      <c r="Q8" s="37">
        <v>31</v>
      </c>
      <c r="R8" s="77"/>
      <c r="S8" s="77"/>
    </row>
    <row r="9" spans="2:21" ht="15.75" customHeight="1">
      <c r="B9" s="23">
        <v>1</v>
      </c>
      <c r="C9" s="82" t="str">
        <f>Alumnos!C4&amp;" "&amp;Alumnos!D4&amp;" "&amp;Alumnos!E4</f>
        <v>Moreno Valencia Juan</v>
      </c>
      <c r="D9" s="71"/>
      <c r="E9" s="72"/>
      <c r="F9" s="38" t="s">
        <v>140</v>
      </c>
      <c r="G9" s="39" t="s">
        <v>140</v>
      </c>
      <c r="H9" s="38" t="s">
        <v>140</v>
      </c>
      <c r="I9" s="38" t="s">
        <v>140</v>
      </c>
      <c r="J9" s="38" t="s">
        <v>140</v>
      </c>
      <c r="K9" s="38" t="s">
        <v>140</v>
      </c>
      <c r="L9" s="38" t="s">
        <v>140</v>
      </c>
      <c r="M9" s="38" t="s">
        <v>140</v>
      </c>
      <c r="N9" s="38" t="s">
        <v>140</v>
      </c>
      <c r="O9" s="38" t="s">
        <v>140</v>
      </c>
      <c r="P9" s="38" t="s">
        <v>140</v>
      </c>
      <c r="Q9" s="38" t="s">
        <v>140</v>
      </c>
      <c r="R9" s="25">
        <f t="shared" ref="R9:R20" si="0">COUNTIF(F9:Q9,$U$2)</f>
        <v>12</v>
      </c>
      <c r="S9" s="25">
        <f t="shared" ref="S9:S20" si="1">COUNTIF(F9:Q9,$U$3)</f>
        <v>0</v>
      </c>
    </row>
    <row r="10" spans="2:21" ht="15.75" customHeight="1">
      <c r="B10" s="23">
        <v>2</v>
      </c>
      <c r="C10" s="82" t="str">
        <f>Alumnos!C5&amp;" "&amp;Alumnos!D5&amp;" "&amp;Alumnos!E5</f>
        <v>Santos Vargas Valentina</v>
      </c>
      <c r="D10" s="71"/>
      <c r="E10" s="72"/>
      <c r="F10" s="40" t="s">
        <v>140</v>
      </c>
      <c r="G10" s="41" t="s">
        <v>142</v>
      </c>
      <c r="H10" s="41" t="s">
        <v>142</v>
      </c>
      <c r="I10" s="38" t="s">
        <v>140</v>
      </c>
      <c r="J10" s="38" t="s">
        <v>140</v>
      </c>
      <c r="K10" s="38" t="s">
        <v>140</v>
      </c>
      <c r="L10" s="38" t="s">
        <v>140</v>
      </c>
      <c r="M10" s="38" t="s">
        <v>140</v>
      </c>
      <c r="N10" s="38" t="s">
        <v>140</v>
      </c>
      <c r="O10" s="38" t="s">
        <v>140</v>
      </c>
      <c r="P10" s="38" t="s">
        <v>140</v>
      </c>
      <c r="Q10" s="38" t="s">
        <v>140</v>
      </c>
      <c r="R10" s="25">
        <f t="shared" si="0"/>
        <v>10</v>
      </c>
      <c r="S10" s="25">
        <f t="shared" si="1"/>
        <v>2</v>
      </c>
    </row>
    <row r="11" spans="2:21" ht="15.75" customHeight="1">
      <c r="B11" s="23">
        <v>3</v>
      </c>
      <c r="C11" s="82" t="str">
        <f>Alumnos!C6&amp;" "&amp;Alumnos!D6&amp;" "&amp;Alumnos!E6</f>
        <v>Valenzuela Pérez Victor Juan</v>
      </c>
      <c r="D11" s="71"/>
      <c r="E11" s="72"/>
      <c r="F11" s="38" t="s">
        <v>140</v>
      </c>
      <c r="G11" s="42" t="s">
        <v>140</v>
      </c>
      <c r="H11" s="38" t="s">
        <v>140</v>
      </c>
      <c r="I11" s="38" t="s">
        <v>140</v>
      </c>
      <c r="J11" s="38" t="s">
        <v>140</v>
      </c>
      <c r="K11" s="38" t="s">
        <v>140</v>
      </c>
      <c r="L11" s="38" t="s">
        <v>140</v>
      </c>
      <c r="M11" s="38" t="s">
        <v>140</v>
      </c>
      <c r="N11" s="38" t="s">
        <v>140</v>
      </c>
      <c r="O11" s="38" t="s">
        <v>140</v>
      </c>
      <c r="P11" s="38" t="s">
        <v>140</v>
      </c>
      <c r="Q11" s="38" t="s">
        <v>140</v>
      </c>
      <c r="R11" s="25">
        <f t="shared" si="0"/>
        <v>12</v>
      </c>
      <c r="S11" s="25">
        <f t="shared" si="1"/>
        <v>0</v>
      </c>
    </row>
    <row r="12" spans="2:21" ht="15.75" customHeight="1">
      <c r="B12" s="23">
        <v>4</v>
      </c>
      <c r="C12" s="82" t="str">
        <f>Alumnos!C7&amp;" "&amp;Alumnos!D7&amp;" "&amp;Alumnos!E7</f>
        <v>Gutiérrez Mendoza Felipe</v>
      </c>
      <c r="D12" s="71"/>
      <c r="E12" s="72"/>
      <c r="F12" s="38" t="s">
        <v>140</v>
      </c>
      <c r="G12" s="38" t="s">
        <v>140</v>
      </c>
      <c r="H12" s="38" t="s">
        <v>140</v>
      </c>
      <c r="I12" s="38" t="s">
        <v>140</v>
      </c>
      <c r="J12" s="38" t="s">
        <v>140</v>
      </c>
      <c r="K12" s="38" t="s">
        <v>140</v>
      </c>
      <c r="L12" s="38" t="s">
        <v>140</v>
      </c>
      <c r="M12" s="38" t="s">
        <v>140</v>
      </c>
      <c r="N12" s="35" t="s">
        <v>142</v>
      </c>
      <c r="O12" s="35" t="s">
        <v>142</v>
      </c>
      <c r="P12" s="38" t="s">
        <v>140</v>
      </c>
      <c r="Q12" s="38" t="s">
        <v>140</v>
      </c>
      <c r="R12" s="25">
        <f t="shared" si="0"/>
        <v>10</v>
      </c>
      <c r="S12" s="25">
        <f t="shared" si="1"/>
        <v>2</v>
      </c>
    </row>
    <row r="13" spans="2:21" ht="15.75" customHeight="1">
      <c r="B13" s="23">
        <v>5</v>
      </c>
      <c r="C13" s="82" t="str">
        <f>Alumnos!C8&amp;" "&amp;Alumnos!D8&amp;" "&amp;Alumnos!E8</f>
        <v>Torres Fernández Martin</v>
      </c>
      <c r="D13" s="71"/>
      <c r="E13" s="72"/>
      <c r="F13" s="38" t="s">
        <v>140</v>
      </c>
      <c r="G13" s="38" t="s">
        <v>140</v>
      </c>
      <c r="H13" s="38" t="s">
        <v>140</v>
      </c>
      <c r="I13" s="35" t="s">
        <v>142</v>
      </c>
      <c r="J13" s="38" t="s">
        <v>140</v>
      </c>
      <c r="K13" s="38" t="s">
        <v>140</v>
      </c>
      <c r="L13" s="38" t="s">
        <v>140</v>
      </c>
      <c r="M13" s="38" t="s">
        <v>140</v>
      </c>
      <c r="N13" s="38" t="s">
        <v>140</v>
      </c>
      <c r="O13" s="38" t="s">
        <v>140</v>
      </c>
      <c r="P13" s="38" t="s">
        <v>140</v>
      </c>
      <c r="Q13" s="38" t="s">
        <v>140</v>
      </c>
      <c r="R13" s="25">
        <f t="shared" si="0"/>
        <v>11</v>
      </c>
      <c r="S13" s="25">
        <f t="shared" si="1"/>
        <v>1</v>
      </c>
    </row>
    <row r="14" spans="2:21" ht="15.75" customHeight="1">
      <c r="B14" s="23">
        <v>6</v>
      </c>
      <c r="C14" s="82" t="str">
        <f>Alumnos!C9&amp;" "&amp;Alumnos!D9&amp;" "&amp;Alumnos!E9</f>
        <v>Delgado Delgado Monica Angelica</v>
      </c>
      <c r="D14" s="71"/>
      <c r="E14" s="72"/>
      <c r="F14" s="38" t="s">
        <v>140</v>
      </c>
      <c r="G14" s="38" t="s">
        <v>140</v>
      </c>
      <c r="H14" s="38" t="s">
        <v>140</v>
      </c>
      <c r="I14" s="38" t="s">
        <v>140</v>
      </c>
      <c r="J14" s="38" t="s">
        <v>140</v>
      </c>
      <c r="K14" s="38" t="s">
        <v>140</v>
      </c>
      <c r="L14" s="38" t="s">
        <v>140</v>
      </c>
      <c r="M14" s="38" t="s">
        <v>140</v>
      </c>
      <c r="N14" s="38" t="s">
        <v>140</v>
      </c>
      <c r="O14" s="38" t="s">
        <v>140</v>
      </c>
      <c r="P14" s="38" t="s">
        <v>140</v>
      </c>
      <c r="Q14" s="38" t="s">
        <v>140</v>
      </c>
      <c r="R14" s="25">
        <f t="shared" si="0"/>
        <v>12</v>
      </c>
      <c r="S14" s="25">
        <f t="shared" si="1"/>
        <v>0</v>
      </c>
    </row>
    <row r="15" spans="2:21" ht="15.75" customHeight="1">
      <c r="B15" s="23">
        <v>7</v>
      </c>
      <c r="C15" s="82" t="str">
        <f>Alumnos!C10&amp;" "&amp;Alumnos!D10&amp;" "&amp;Alumnos!E10</f>
        <v>Mendoza Santos Ana Sofia</v>
      </c>
      <c r="D15" s="71"/>
      <c r="E15" s="72"/>
      <c r="F15" s="38" t="s">
        <v>140</v>
      </c>
      <c r="G15" s="35" t="s">
        <v>142</v>
      </c>
      <c r="H15" s="35" t="s">
        <v>142</v>
      </c>
      <c r="I15" s="38" t="s">
        <v>140</v>
      </c>
      <c r="J15" s="38" t="s">
        <v>140</v>
      </c>
      <c r="K15" s="38" t="s">
        <v>140</v>
      </c>
      <c r="L15" s="38" t="s">
        <v>140</v>
      </c>
      <c r="M15" s="38" t="s">
        <v>140</v>
      </c>
      <c r="N15" s="38" t="s">
        <v>140</v>
      </c>
      <c r="O15" s="38" t="s">
        <v>140</v>
      </c>
      <c r="P15" s="38" t="s">
        <v>140</v>
      </c>
      <c r="Q15" s="38" t="s">
        <v>140</v>
      </c>
      <c r="R15" s="25">
        <f t="shared" si="0"/>
        <v>10</v>
      </c>
      <c r="S15" s="25">
        <f t="shared" si="1"/>
        <v>2</v>
      </c>
    </row>
    <row r="16" spans="2:21" ht="15.75" customHeight="1">
      <c r="B16" s="23">
        <v>8</v>
      </c>
      <c r="C16" s="82" t="str">
        <f>Alumnos!C11&amp;" "&amp;Alumnos!D11&amp;" "&amp;Alumnos!E11</f>
        <v>Martínez Suárez Sofia</v>
      </c>
      <c r="D16" s="71"/>
      <c r="E16" s="72"/>
      <c r="F16" s="38" t="s">
        <v>140</v>
      </c>
      <c r="G16" s="38" t="s">
        <v>140</v>
      </c>
      <c r="H16" s="38" t="s">
        <v>140</v>
      </c>
      <c r="I16" s="38" t="s">
        <v>140</v>
      </c>
      <c r="J16" s="38" t="s">
        <v>140</v>
      </c>
      <c r="K16" s="38" t="s">
        <v>140</v>
      </c>
      <c r="L16" s="38" t="s">
        <v>140</v>
      </c>
      <c r="M16" s="38" t="s">
        <v>140</v>
      </c>
      <c r="N16" s="38" t="s">
        <v>140</v>
      </c>
      <c r="O16" s="38" t="s">
        <v>140</v>
      </c>
      <c r="P16" s="38" t="s">
        <v>140</v>
      </c>
      <c r="Q16" s="35" t="s">
        <v>142</v>
      </c>
      <c r="R16" s="25">
        <f t="shared" si="0"/>
        <v>11</v>
      </c>
      <c r="S16" s="25">
        <f t="shared" si="1"/>
        <v>1</v>
      </c>
    </row>
    <row r="17" spans="2:19" ht="15.75" customHeight="1">
      <c r="B17" s="23">
        <v>9</v>
      </c>
      <c r="C17" s="82" t="str">
        <f>Alumnos!C12&amp;" "&amp;Alumnos!D12&amp;" "&amp;Alumnos!E12</f>
        <v>Gutiérrez Cabrera Maria</v>
      </c>
      <c r="D17" s="71"/>
      <c r="E17" s="72"/>
      <c r="F17" s="38" t="s">
        <v>140</v>
      </c>
      <c r="G17" s="38" t="s">
        <v>140</v>
      </c>
      <c r="H17" s="38" t="s">
        <v>140</v>
      </c>
      <c r="I17" s="38" t="s">
        <v>140</v>
      </c>
      <c r="J17" s="38" t="s">
        <v>140</v>
      </c>
      <c r="K17" s="35" t="s">
        <v>142</v>
      </c>
      <c r="L17" s="38" t="s">
        <v>140</v>
      </c>
      <c r="M17" s="38" t="s">
        <v>140</v>
      </c>
      <c r="N17" s="38" t="s">
        <v>140</v>
      </c>
      <c r="O17" s="38" t="s">
        <v>140</v>
      </c>
      <c r="P17" s="38" t="s">
        <v>140</v>
      </c>
      <c r="Q17" s="35" t="s">
        <v>142</v>
      </c>
      <c r="R17" s="25">
        <f t="shared" si="0"/>
        <v>10</v>
      </c>
      <c r="S17" s="25">
        <f t="shared" si="1"/>
        <v>2</v>
      </c>
    </row>
    <row r="18" spans="2:19" ht="15.75" customHeight="1">
      <c r="B18" s="23">
        <v>10</v>
      </c>
      <c r="C18" s="82" t="str">
        <f>Alumnos!C13&amp;" "&amp;Alumnos!D13&amp;" "&amp;Alumnos!E13</f>
        <v>Rojas Castillo Daniela</v>
      </c>
      <c r="D18" s="71"/>
      <c r="E18" s="72"/>
      <c r="F18" s="38" t="s">
        <v>140</v>
      </c>
      <c r="G18" s="38" t="s">
        <v>140</v>
      </c>
      <c r="H18" s="38" t="s">
        <v>140</v>
      </c>
      <c r="I18" s="38" t="s">
        <v>140</v>
      </c>
      <c r="J18" s="38" t="s">
        <v>140</v>
      </c>
      <c r="K18" s="38" t="s">
        <v>140</v>
      </c>
      <c r="L18" s="38" t="s">
        <v>140</v>
      </c>
      <c r="M18" s="38" t="s">
        <v>140</v>
      </c>
      <c r="N18" s="38" t="s">
        <v>140</v>
      </c>
      <c r="O18" s="38" t="s">
        <v>140</v>
      </c>
      <c r="P18" s="38" t="s">
        <v>140</v>
      </c>
      <c r="Q18" s="38" t="s">
        <v>140</v>
      </c>
      <c r="R18" s="25">
        <f t="shared" si="0"/>
        <v>12</v>
      </c>
      <c r="S18" s="25">
        <f t="shared" si="1"/>
        <v>0</v>
      </c>
    </row>
    <row r="19" spans="2:19" ht="15.75" customHeight="1">
      <c r="B19" s="43">
        <v>11</v>
      </c>
      <c r="C19" s="82" t="str">
        <f>Alumnos!C14&amp;" "&amp;Alumnos!D14&amp;" "&amp;Alumnos!E14</f>
        <v>Rojas González Esteban</v>
      </c>
      <c r="D19" s="71"/>
      <c r="E19" s="72"/>
      <c r="F19" s="38" t="s">
        <v>140</v>
      </c>
      <c r="G19" s="38" t="s">
        <v>140</v>
      </c>
      <c r="H19" s="38" t="s">
        <v>140</v>
      </c>
      <c r="I19" s="35" t="s">
        <v>142</v>
      </c>
      <c r="J19" s="38" t="s">
        <v>140</v>
      </c>
      <c r="K19" s="38" t="s">
        <v>140</v>
      </c>
      <c r="L19" s="38" t="s">
        <v>140</v>
      </c>
      <c r="M19" s="38" t="s">
        <v>140</v>
      </c>
      <c r="N19" s="38" t="s">
        <v>140</v>
      </c>
      <c r="O19" s="38" t="s">
        <v>140</v>
      </c>
      <c r="P19" s="38" t="s">
        <v>140</v>
      </c>
      <c r="Q19" s="38" t="s">
        <v>140</v>
      </c>
      <c r="R19" s="25">
        <f t="shared" si="0"/>
        <v>11</v>
      </c>
      <c r="S19" s="25">
        <f t="shared" si="1"/>
        <v>1</v>
      </c>
    </row>
    <row r="20" spans="2:19" ht="15.75" customHeight="1">
      <c r="B20" s="23">
        <v>12</v>
      </c>
      <c r="C20" s="82" t="str">
        <f>Alumnos!C15&amp;" "&amp;Alumnos!D15&amp;" "&amp;Alumnos!E15</f>
        <v>Salazar Pérez Javier Jesús</v>
      </c>
      <c r="D20" s="71"/>
      <c r="E20" s="72"/>
      <c r="F20" s="38" t="s">
        <v>140</v>
      </c>
      <c r="G20" s="35" t="s">
        <v>142</v>
      </c>
      <c r="H20" s="38" t="s">
        <v>140</v>
      </c>
      <c r="I20" s="38" t="s">
        <v>140</v>
      </c>
      <c r="J20" s="38" t="s">
        <v>140</v>
      </c>
      <c r="K20" s="38" t="s">
        <v>140</v>
      </c>
      <c r="L20" s="38" t="s">
        <v>140</v>
      </c>
      <c r="M20" s="38" t="s">
        <v>140</v>
      </c>
      <c r="N20" s="35" t="s">
        <v>142</v>
      </c>
      <c r="O20" s="35" t="s">
        <v>142</v>
      </c>
      <c r="P20" s="35" t="s">
        <v>142</v>
      </c>
      <c r="Q20" s="38" t="s">
        <v>140</v>
      </c>
      <c r="R20" s="25">
        <f t="shared" si="0"/>
        <v>8</v>
      </c>
      <c r="S20" s="25">
        <f t="shared" si="1"/>
        <v>4</v>
      </c>
    </row>
    <row r="21" spans="2:19" ht="15.75" customHeight="1">
      <c r="B21" s="44"/>
      <c r="C21" t="str">
        <f>Alumnos!C18&amp;" "&amp;Alumnos!D18&amp;" "&amp;Alumnos!E18</f>
        <v>Santos Vásquez Paula</v>
      </c>
    </row>
    <row r="22" spans="2:19" ht="15.75" customHeight="1">
      <c r="B22" s="44"/>
    </row>
    <row r="23" spans="2:19" ht="15.75" customHeight="1">
      <c r="B23" s="44"/>
    </row>
    <row r="24" spans="2:19" ht="15.75" customHeight="1"/>
    <row r="25" spans="2:19" ht="15.75" customHeight="1">
      <c r="B25" s="45" t="s">
        <v>8</v>
      </c>
      <c r="C25" s="46">
        <v>2</v>
      </c>
    </row>
    <row r="26" spans="2:19" ht="15.75" customHeight="1">
      <c r="B26" s="45" t="s">
        <v>9</v>
      </c>
      <c r="C26" s="47" t="str">
        <f>C25&amp;"°"&amp;"B"</f>
        <v>2°B</v>
      </c>
    </row>
    <row r="27" spans="2:19" ht="15.75" customHeight="1"/>
    <row r="28" spans="2:19" ht="15.75" customHeight="1">
      <c r="B28" s="75" t="s">
        <v>1</v>
      </c>
      <c r="C28" s="83" t="s">
        <v>4</v>
      </c>
      <c r="D28" s="84"/>
      <c r="E28" s="85"/>
      <c r="F28" s="78" t="s">
        <v>143</v>
      </c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2"/>
      <c r="R28" s="79" t="s">
        <v>144</v>
      </c>
      <c r="S28" s="80" t="s">
        <v>145</v>
      </c>
    </row>
    <row r="29" spans="2:19" ht="15.75" customHeight="1">
      <c r="B29" s="76"/>
      <c r="C29" s="86"/>
      <c r="D29" s="87"/>
      <c r="E29" s="88"/>
      <c r="F29" s="81" t="s">
        <v>146</v>
      </c>
      <c r="G29" s="72"/>
      <c r="H29" s="81" t="s">
        <v>147</v>
      </c>
      <c r="I29" s="71"/>
      <c r="J29" s="71"/>
      <c r="K29" s="71"/>
      <c r="L29" s="72"/>
      <c r="M29" s="81" t="s">
        <v>148</v>
      </c>
      <c r="N29" s="71"/>
      <c r="O29" s="71"/>
      <c r="P29" s="71"/>
      <c r="Q29" s="72"/>
      <c r="R29" s="76"/>
      <c r="S29" s="76"/>
    </row>
    <row r="30" spans="2:19" ht="15.75" customHeight="1">
      <c r="B30" s="76"/>
      <c r="C30" s="86"/>
      <c r="D30" s="87"/>
      <c r="E30" s="88"/>
      <c r="F30" s="37" t="s">
        <v>149</v>
      </c>
      <c r="G30" s="37" t="s">
        <v>150</v>
      </c>
      <c r="H30" s="37" t="s">
        <v>151</v>
      </c>
      <c r="I30" s="37" t="s">
        <v>152</v>
      </c>
      <c r="J30" s="37" t="s">
        <v>153</v>
      </c>
      <c r="K30" s="37" t="s">
        <v>149</v>
      </c>
      <c r="L30" s="37" t="s">
        <v>150</v>
      </c>
      <c r="M30" s="37" t="s">
        <v>151</v>
      </c>
      <c r="N30" s="37" t="s">
        <v>152</v>
      </c>
      <c r="O30" s="37" t="s">
        <v>153</v>
      </c>
      <c r="P30" s="37" t="s">
        <v>149</v>
      </c>
      <c r="Q30" s="37" t="s">
        <v>150</v>
      </c>
      <c r="R30" s="76"/>
      <c r="S30" s="76"/>
    </row>
    <row r="31" spans="2:19" ht="15.75" customHeight="1">
      <c r="B31" s="77"/>
      <c r="C31" s="89"/>
      <c r="D31" s="90"/>
      <c r="E31" s="91"/>
      <c r="F31" s="37">
        <v>16</v>
      </c>
      <c r="G31" s="37">
        <v>17</v>
      </c>
      <c r="H31" s="37">
        <v>20</v>
      </c>
      <c r="I31" s="37">
        <v>21</v>
      </c>
      <c r="J31" s="37">
        <v>22</v>
      </c>
      <c r="K31" s="37">
        <v>23</v>
      </c>
      <c r="L31" s="37">
        <v>24</v>
      </c>
      <c r="M31" s="37">
        <v>27</v>
      </c>
      <c r="N31" s="37">
        <v>28</v>
      </c>
      <c r="O31" s="37">
        <v>29</v>
      </c>
      <c r="P31" s="37">
        <v>30</v>
      </c>
      <c r="Q31" s="37">
        <v>31</v>
      </c>
      <c r="R31" s="77"/>
      <c r="S31" s="77"/>
    </row>
    <row r="32" spans="2:19" ht="15.75" customHeight="1">
      <c r="B32" s="23">
        <v>13</v>
      </c>
      <c r="C32" s="82" t="str">
        <f>Alumnos!C16&amp;" "&amp;Alumnos!D16&amp;" "&amp;Alumnos!E16</f>
        <v>Silva Castillo Ricardo</v>
      </c>
      <c r="D32" s="71"/>
      <c r="E32" s="72"/>
      <c r="F32" s="38" t="s">
        <v>140</v>
      </c>
      <c r="G32" s="39" t="s">
        <v>142</v>
      </c>
      <c r="H32" s="38" t="s">
        <v>140</v>
      </c>
      <c r="I32" s="38" t="s">
        <v>140</v>
      </c>
      <c r="J32" s="38" t="s">
        <v>140</v>
      </c>
      <c r="K32" s="38" t="s">
        <v>140</v>
      </c>
      <c r="L32" s="38" t="s">
        <v>140</v>
      </c>
      <c r="M32" s="38" t="s">
        <v>140</v>
      </c>
      <c r="N32" s="38" t="s">
        <v>140</v>
      </c>
      <c r="O32" s="38" t="s">
        <v>140</v>
      </c>
      <c r="P32" s="38" t="s">
        <v>140</v>
      </c>
      <c r="Q32" s="38" t="s">
        <v>140</v>
      </c>
      <c r="R32" s="25">
        <f t="shared" ref="R32:R45" si="2">COUNTIF(F32:Q32,$U$2)</f>
        <v>11</v>
      </c>
      <c r="S32" s="25">
        <f t="shared" ref="S32:S45" si="3">COUNTIF(F32:Q32,$U$3)</f>
        <v>1</v>
      </c>
    </row>
    <row r="33" spans="2:19" ht="15.75" customHeight="1">
      <c r="B33" s="23">
        <v>14</v>
      </c>
      <c r="C33" s="82" t="str">
        <f>Alumnos!C17&amp;" "&amp;Alumnos!D17&amp;" "&amp;Alumnos!E17</f>
        <v>Chávez Pérez Camila</v>
      </c>
      <c r="D33" s="71"/>
      <c r="E33" s="72"/>
      <c r="F33" s="40" t="s">
        <v>140</v>
      </c>
      <c r="G33" s="41" t="s">
        <v>140</v>
      </c>
      <c r="H33" s="41" t="s">
        <v>140</v>
      </c>
      <c r="I33" s="38" t="s">
        <v>140</v>
      </c>
      <c r="J33" s="38" t="s">
        <v>140</v>
      </c>
      <c r="K33" s="38" t="s">
        <v>140</v>
      </c>
      <c r="L33" s="38" t="s">
        <v>140</v>
      </c>
      <c r="M33" s="38" t="s">
        <v>140</v>
      </c>
      <c r="N33" s="38" t="s">
        <v>142</v>
      </c>
      <c r="O33" s="38" t="s">
        <v>140</v>
      </c>
      <c r="P33" s="38" t="s">
        <v>140</v>
      </c>
      <c r="Q33" s="38" t="s">
        <v>140</v>
      </c>
      <c r="R33" s="25">
        <f t="shared" si="2"/>
        <v>11</v>
      </c>
      <c r="S33" s="25">
        <f t="shared" si="3"/>
        <v>1</v>
      </c>
    </row>
    <row r="34" spans="2:19" ht="15.75" customHeight="1">
      <c r="B34" s="23">
        <v>15</v>
      </c>
      <c r="C34" s="82" t="str">
        <f>Alumnos!C18&amp;" "&amp;Alumnos!D18&amp;" "&amp;Alumnos!E18</f>
        <v>Santos Vásquez Paula</v>
      </c>
      <c r="D34" s="71"/>
      <c r="E34" s="72"/>
      <c r="F34" s="38" t="s">
        <v>140</v>
      </c>
      <c r="G34" s="42" t="s">
        <v>140</v>
      </c>
      <c r="H34" s="38" t="s">
        <v>140</v>
      </c>
      <c r="I34" s="38" t="s">
        <v>140</v>
      </c>
      <c r="J34" s="38" t="s">
        <v>140</v>
      </c>
      <c r="K34" s="38" t="s">
        <v>140</v>
      </c>
      <c r="L34" s="38" t="s">
        <v>140</v>
      </c>
      <c r="M34" s="38" t="s">
        <v>140</v>
      </c>
      <c r="N34" s="38" t="s">
        <v>140</v>
      </c>
      <c r="O34" s="38" t="s">
        <v>140</v>
      </c>
      <c r="P34" s="38" t="s">
        <v>140</v>
      </c>
      <c r="Q34" s="38" t="s">
        <v>140</v>
      </c>
      <c r="R34" s="25">
        <f t="shared" si="2"/>
        <v>12</v>
      </c>
      <c r="S34" s="25">
        <f t="shared" si="3"/>
        <v>0</v>
      </c>
    </row>
    <row r="35" spans="2:19" ht="15.75" customHeight="1">
      <c r="B35" s="23">
        <v>16</v>
      </c>
      <c r="C35" s="82" t="str">
        <f>Alumnos!C19&amp;" "&amp;Alumnos!D19&amp;" "&amp;Alumnos!E19</f>
        <v>Peralta Rojas Isabella</v>
      </c>
      <c r="D35" s="71"/>
      <c r="E35" s="72"/>
      <c r="F35" s="38" t="s">
        <v>140</v>
      </c>
      <c r="G35" s="38" t="s">
        <v>140</v>
      </c>
      <c r="H35" s="38" t="s">
        <v>140</v>
      </c>
      <c r="I35" s="38" t="s">
        <v>140</v>
      </c>
      <c r="J35" s="38" t="s">
        <v>140</v>
      </c>
      <c r="K35" s="38" t="s">
        <v>140</v>
      </c>
      <c r="L35" s="38" t="s">
        <v>140</v>
      </c>
      <c r="M35" s="38" t="s">
        <v>140</v>
      </c>
      <c r="N35" s="35" t="s">
        <v>140</v>
      </c>
      <c r="O35" s="35" t="s">
        <v>140</v>
      </c>
      <c r="P35" s="38" t="s">
        <v>142</v>
      </c>
      <c r="Q35" s="38" t="s">
        <v>140</v>
      </c>
      <c r="R35" s="25">
        <f t="shared" si="2"/>
        <v>11</v>
      </c>
      <c r="S35" s="25">
        <f t="shared" si="3"/>
        <v>1</v>
      </c>
    </row>
    <row r="36" spans="2:19" ht="15.75" customHeight="1">
      <c r="B36" s="23">
        <v>17</v>
      </c>
      <c r="C36" s="82" t="str">
        <f>Alumnos!C20&amp;" "&amp;Alumnos!D20&amp;" "&amp;Alumnos!E20</f>
        <v>Reyes López Francisco Alberto</v>
      </c>
      <c r="D36" s="71"/>
      <c r="E36" s="72"/>
      <c r="F36" s="38" t="s">
        <v>140</v>
      </c>
      <c r="G36" s="38" t="s">
        <v>142</v>
      </c>
      <c r="H36" s="38" t="s">
        <v>142</v>
      </c>
      <c r="I36" s="35" t="s">
        <v>142</v>
      </c>
      <c r="J36" s="38" t="s">
        <v>140</v>
      </c>
      <c r="K36" s="38" t="s">
        <v>140</v>
      </c>
      <c r="L36" s="38" t="s">
        <v>140</v>
      </c>
      <c r="M36" s="38" t="s">
        <v>140</v>
      </c>
      <c r="N36" s="38" t="s">
        <v>140</v>
      </c>
      <c r="O36" s="38" t="s">
        <v>140</v>
      </c>
      <c r="P36" s="38" t="s">
        <v>140</v>
      </c>
      <c r="Q36" s="38" t="s">
        <v>140</v>
      </c>
      <c r="R36" s="25">
        <f t="shared" si="2"/>
        <v>9</v>
      </c>
      <c r="S36" s="25">
        <f t="shared" si="3"/>
        <v>3</v>
      </c>
    </row>
    <row r="37" spans="2:19" ht="15.75" customHeight="1">
      <c r="B37" s="23">
        <v>18</v>
      </c>
      <c r="C37" s="82" t="str">
        <f>Alumnos!C21&amp;" "&amp;Alumnos!D21&amp;" "&amp;Alumnos!E21</f>
        <v>Jiménez Chávez Diana Carla</v>
      </c>
      <c r="D37" s="71"/>
      <c r="E37" s="72"/>
      <c r="F37" s="38" t="s">
        <v>140</v>
      </c>
      <c r="G37" s="38" t="s">
        <v>140</v>
      </c>
      <c r="H37" s="38" t="s">
        <v>140</v>
      </c>
      <c r="I37" s="38" t="s">
        <v>140</v>
      </c>
      <c r="J37" s="38" t="s">
        <v>140</v>
      </c>
      <c r="K37" s="38" t="s">
        <v>140</v>
      </c>
      <c r="L37" s="38" t="s">
        <v>140</v>
      </c>
      <c r="M37" s="38" t="s">
        <v>140</v>
      </c>
      <c r="N37" s="38" t="s">
        <v>140</v>
      </c>
      <c r="O37" s="38" t="s">
        <v>140</v>
      </c>
      <c r="P37" s="38" t="s">
        <v>140</v>
      </c>
      <c r="Q37" s="38" t="s">
        <v>140</v>
      </c>
      <c r="R37" s="25">
        <f t="shared" si="2"/>
        <v>12</v>
      </c>
      <c r="S37" s="25">
        <f t="shared" si="3"/>
        <v>0</v>
      </c>
    </row>
    <row r="38" spans="2:19" ht="15.75" customHeight="1">
      <c r="B38" s="23">
        <v>19</v>
      </c>
      <c r="C38" s="82" t="str">
        <f>Alumnos!C22&amp;" "&amp;Alumnos!D22&amp;" "&amp;Alumnos!E22</f>
        <v>Morales Romero Ana</v>
      </c>
      <c r="D38" s="71"/>
      <c r="E38" s="72"/>
      <c r="F38" s="38" t="s">
        <v>140</v>
      </c>
      <c r="G38" s="35" t="s">
        <v>140</v>
      </c>
      <c r="H38" s="35" t="s">
        <v>140</v>
      </c>
      <c r="I38" s="38" t="s">
        <v>140</v>
      </c>
      <c r="J38" s="38" t="s">
        <v>140</v>
      </c>
      <c r="K38" s="38" t="s">
        <v>140</v>
      </c>
      <c r="L38" s="38" t="s">
        <v>140</v>
      </c>
      <c r="M38" s="38" t="s">
        <v>142</v>
      </c>
      <c r="N38" s="38" t="s">
        <v>140</v>
      </c>
      <c r="O38" s="38" t="s">
        <v>140</v>
      </c>
      <c r="P38" s="38" t="s">
        <v>140</v>
      </c>
      <c r="Q38" s="38" t="s">
        <v>140</v>
      </c>
      <c r="R38" s="25">
        <f t="shared" si="2"/>
        <v>11</v>
      </c>
      <c r="S38" s="25">
        <f t="shared" si="3"/>
        <v>1</v>
      </c>
    </row>
    <row r="39" spans="2:19" ht="15.75" customHeight="1">
      <c r="B39" s="23">
        <v>20</v>
      </c>
      <c r="C39" s="82" t="str">
        <f>Alumnos!C23&amp;" "&amp;Alumnos!D23&amp;" "&amp;Alumnos!E23</f>
        <v>Silva Aguilar Victor</v>
      </c>
      <c r="D39" s="71"/>
      <c r="E39" s="72"/>
      <c r="F39" s="38" t="s">
        <v>140</v>
      </c>
      <c r="G39" s="38" t="s">
        <v>140</v>
      </c>
      <c r="H39" s="38" t="s">
        <v>140</v>
      </c>
      <c r="I39" s="38" t="s">
        <v>140</v>
      </c>
      <c r="J39" s="38" t="s">
        <v>140</v>
      </c>
      <c r="K39" s="38" t="s">
        <v>140</v>
      </c>
      <c r="L39" s="38" t="s">
        <v>140</v>
      </c>
      <c r="M39" s="38" t="s">
        <v>140</v>
      </c>
      <c r="N39" s="38" t="s">
        <v>140</v>
      </c>
      <c r="O39" s="38" t="s">
        <v>140</v>
      </c>
      <c r="P39" s="38" t="s">
        <v>140</v>
      </c>
      <c r="Q39" s="35" t="s">
        <v>142</v>
      </c>
      <c r="R39" s="25">
        <f t="shared" si="2"/>
        <v>11</v>
      </c>
      <c r="S39" s="25">
        <f t="shared" si="3"/>
        <v>1</v>
      </c>
    </row>
    <row r="40" spans="2:19" ht="15.75" customHeight="1">
      <c r="B40" s="23">
        <v>21</v>
      </c>
      <c r="C40" s="82" t="str">
        <f>Alumnos!C24&amp;" "&amp;Alumnos!D24&amp;" "&amp;Alumnos!E24</f>
        <v>Álvarez Mendoza Lucia</v>
      </c>
      <c r="D40" s="71"/>
      <c r="E40" s="72"/>
      <c r="F40" s="38" t="s">
        <v>140</v>
      </c>
      <c r="G40" s="38" t="s">
        <v>140</v>
      </c>
      <c r="H40" s="38" t="s">
        <v>140</v>
      </c>
      <c r="I40" s="38" t="s">
        <v>140</v>
      </c>
      <c r="J40" s="38" t="s">
        <v>140</v>
      </c>
      <c r="K40" s="35" t="s">
        <v>142</v>
      </c>
      <c r="L40" s="38" t="s">
        <v>140</v>
      </c>
      <c r="M40" s="38" t="s">
        <v>140</v>
      </c>
      <c r="N40" s="38" t="s">
        <v>140</v>
      </c>
      <c r="O40" s="38" t="s">
        <v>140</v>
      </c>
      <c r="P40" s="38" t="s">
        <v>140</v>
      </c>
      <c r="Q40" s="35" t="s">
        <v>142</v>
      </c>
      <c r="R40" s="25">
        <f t="shared" si="2"/>
        <v>10</v>
      </c>
      <c r="S40" s="25">
        <f t="shared" si="3"/>
        <v>2</v>
      </c>
    </row>
    <row r="41" spans="2:19" ht="15.75" customHeight="1">
      <c r="B41" s="23">
        <v>22</v>
      </c>
      <c r="C41" s="82" t="str">
        <f>Alumnos!C25&amp;" "&amp;Alumnos!D25&amp;" "&amp;Alumnos!E25</f>
        <v>Vega Martínez Carmen María</v>
      </c>
      <c r="D41" s="71"/>
      <c r="E41" s="72"/>
      <c r="F41" s="38" t="s">
        <v>140</v>
      </c>
      <c r="G41" s="38" t="s">
        <v>140</v>
      </c>
      <c r="H41" s="38" t="s">
        <v>140</v>
      </c>
      <c r="I41" s="38" t="s">
        <v>140</v>
      </c>
      <c r="J41" s="38" t="s">
        <v>140</v>
      </c>
      <c r="K41" s="38" t="s">
        <v>140</v>
      </c>
      <c r="L41" s="38" t="s">
        <v>140</v>
      </c>
      <c r="M41" s="38" t="s">
        <v>140</v>
      </c>
      <c r="N41" s="38" t="s">
        <v>140</v>
      </c>
      <c r="O41" s="38" t="s">
        <v>140</v>
      </c>
      <c r="P41" s="38" t="s">
        <v>140</v>
      </c>
      <c r="Q41" s="38" t="s">
        <v>140</v>
      </c>
      <c r="R41" s="25">
        <f t="shared" si="2"/>
        <v>12</v>
      </c>
      <c r="S41" s="25">
        <f t="shared" si="3"/>
        <v>0</v>
      </c>
    </row>
    <row r="42" spans="2:19" ht="15.75" customHeight="1">
      <c r="B42" s="23">
        <v>23</v>
      </c>
      <c r="C42" s="82" t="str">
        <f>Alumnos!C26&amp;" "&amp;Alumnos!D26&amp;" "&amp;Alumnos!E26</f>
        <v>Castillo Chávez Elena Natalia</v>
      </c>
      <c r="D42" s="71"/>
      <c r="E42" s="72"/>
      <c r="F42" s="38" t="s">
        <v>140</v>
      </c>
      <c r="G42" s="38" t="s">
        <v>140</v>
      </c>
      <c r="H42" s="38" t="s">
        <v>140</v>
      </c>
      <c r="I42" s="35" t="s">
        <v>142</v>
      </c>
      <c r="J42" s="38" t="s">
        <v>140</v>
      </c>
      <c r="K42" s="38" t="s">
        <v>140</v>
      </c>
      <c r="L42" s="38" t="s">
        <v>140</v>
      </c>
      <c r="M42" s="38" t="s">
        <v>140</v>
      </c>
      <c r="N42" s="38" t="s">
        <v>140</v>
      </c>
      <c r="O42" s="38" t="s">
        <v>140</v>
      </c>
      <c r="P42" s="38" t="s">
        <v>140</v>
      </c>
      <c r="Q42" s="38" t="s">
        <v>140</v>
      </c>
      <c r="R42" s="25">
        <f t="shared" si="2"/>
        <v>11</v>
      </c>
      <c r="S42" s="25">
        <f t="shared" si="3"/>
        <v>1</v>
      </c>
    </row>
    <row r="43" spans="2:19" ht="15.75" customHeight="1">
      <c r="B43" s="23">
        <v>24</v>
      </c>
      <c r="C43" s="82" t="str">
        <f>Alumnos!C27&amp;" "&amp;Alumnos!D27&amp;" "&amp;Alumnos!E27</f>
        <v>Cruz Silva Paula</v>
      </c>
      <c r="D43" s="71"/>
      <c r="E43" s="72"/>
      <c r="F43" s="38" t="s">
        <v>140</v>
      </c>
      <c r="G43" s="35" t="s">
        <v>140</v>
      </c>
      <c r="H43" s="38" t="s">
        <v>140</v>
      </c>
      <c r="I43" s="38" t="s">
        <v>140</v>
      </c>
      <c r="J43" s="38" t="s">
        <v>140</v>
      </c>
      <c r="K43" s="38" t="s">
        <v>140</v>
      </c>
      <c r="L43" s="38" t="s">
        <v>140</v>
      </c>
      <c r="M43" s="38" t="s">
        <v>140</v>
      </c>
      <c r="N43" s="35" t="s">
        <v>140</v>
      </c>
      <c r="O43" s="35" t="s">
        <v>140</v>
      </c>
      <c r="P43" s="35" t="s">
        <v>142</v>
      </c>
      <c r="Q43" s="38" t="s">
        <v>140</v>
      </c>
      <c r="R43" s="25">
        <f t="shared" si="2"/>
        <v>11</v>
      </c>
      <c r="S43" s="25">
        <f t="shared" si="3"/>
        <v>1</v>
      </c>
    </row>
    <row r="44" spans="2:19" ht="15.75" customHeight="1">
      <c r="B44" s="23">
        <v>25</v>
      </c>
      <c r="C44" s="82" t="str">
        <f>Alumnos!C28&amp;" "&amp;Alumnos!D28&amp;" "&amp;Alumnos!E28</f>
        <v>Rodríguez Ibarra Juan Felipe</v>
      </c>
      <c r="D44" s="71"/>
      <c r="E44" s="72"/>
      <c r="F44" s="38" t="s">
        <v>140</v>
      </c>
      <c r="G44" s="39" t="s">
        <v>140</v>
      </c>
      <c r="H44" s="38" t="s">
        <v>140</v>
      </c>
      <c r="I44" s="38" t="s">
        <v>140</v>
      </c>
      <c r="J44" s="38" t="s">
        <v>140</v>
      </c>
      <c r="K44" s="38" t="s">
        <v>140</v>
      </c>
      <c r="L44" s="38" t="s">
        <v>140</v>
      </c>
      <c r="M44" s="38" t="s">
        <v>140</v>
      </c>
      <c r="N44" s="38" t="s">
        <v>142</v>
      </c>
      <c r="O44" s="38" t="s">
        <v>140</v>
      </c>
      <c r="P44" s="38" t="s">
        <v>140</v>
      </c>
      <c r="Q44" s="38" t="s">
        <v>140</v>
      </c>
      <c r="R44" s="25">
        <f t="shared" si="2"/>
        <v>11</v>
      </c>
      <c r="S44" s="25">
        <f t="shared" si="3"/>
        <v>1</v>
      </c>
    </row>
    <row r="45" spans="2:19" ht="15.75" customHeight="1">
      <c r="B45" s="23">
        <v>26</v>
      </c>
      <c r="C45" s="82" t="str">
        <f>Alumnos!C29&amp;" "&amp;Alumnos!D29&amp;" "&amp;Alumnos!E29</f>
        <v>Campos Gómez Sara</v>
      </c>
      <c r="D45" s="71"/>
      <c r="E45" s="72"/>
      <c r="F45" s="40" t="s">
        <v>140</v>
      </c>
      <c r="G45" s="41" t="s">
        <v>140</v>
      </c>
      <c r="H45" s="41" t="s">
        <v>140</v>
      </c>
      <c r="I45" s="38" t="s">
        <v>140</v>
      </c>
      <c r="J45" s="38" t="s">
        <v>140</v>
      </c>
      <c r="K45" s="38" t="s">
        <v>140</v>
      </c>
      <c r="L45" s="38" t="s">
        <v>140</v>
      </c>
      <c r="M45" s="38" t="s">
        <v>140</v>
      </c>
      <c r="N45" s="38" t="s">
        <v>140</v>
      </c>
      <c r="O45" s="38" t="s">
        <v>140</v>
      </c>
      <c r="P45" s="38" t="s">
        <v>140</v>
      </c>
      <c r="Q45" s="38" t="s">
        <v>140</v>
      </c>
      <c r="R45" s="25">
        <f t="shared" si="2"/>
        <v>12</v>
      </c>
      <c r="S45" s="25">
        <f t="shared" si="3"/>
        <v>0</v>
      </c>
    </row>
    <row r="46" spans="2:19" ht="15.75" customHeight="1"/>
    <row r="47" spans="2:19" ht="15.75" customHeight="1"/>
    <row r="48" spans="2:19" ht="15.75" customHeight="1">
      <c r="B48" s="48" t="s">
        <v>8</v>
      </c>
      <c r="C48" s="49">
        <v>3</v>
      </c>
    </row>
    <row r="49" spans="2:19" ht="15.75" customHeight="1">
      <c r="B49" s="48" t="s">
        <v>9</v>
      </c>
      <c r="C49" s="50" t="str">
        <f>C48&amp;"°"&amp;"A"</f>
        <v>3°A</v>
      </c>
    </row>
    <row r="50" spans="2:19" ht="15.75" customHeight="1"/>
    <row r="51" spans="2:19" ht="15.75" customHeight="1">
      <c r="B51" s="75" t="s">
        <v>1</v>
      </c>
      <c r="C51" s="83" t="s">
        <v>4</v>
      </c>
      <c r="D51" s="84"/>
      <c r="E51" s="85"/>
      <c r="F51" s="78" t="s">
        <v>143</v>
      </c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2"/>
      <c r="R51" s="79" t="s">
        <v>144</v>
      </c>
      <c r="S51" s="80" t="s">
        <v>145</v>
      </c>
    </row>
    <row r="52" spans="2:19" ht="15.75" customHeight="1">
      <c r="B52" s="76"/>
      <c r="C52" s="86"/>
      <c r="D52" s="87"/>
      <c r="E52" s="88"/>
      <c r="F52" s="81" t="s">
        <v>146</v>
      </c>
      <c r="G52" s="72"/>
      <c r="H52" s="81" t="s">
        <v>147</v>
      </c>
      <c r="I52" s="71"/>
      <c r="J52" s="71"/>
      <c r="K52" s="71"/>
      <c r="L52" s="72"/>
      <c r="M52" s="81" t="s">
        <v>148</v>
      </c>
      <c r="N52" s="71"/>
      <c r="O52" s="71"/>
      <c r="P52" s="71"/>
      <c r="Q52" s="72"/>
      <c r="R52" s="76"/>
      <c r="S52" s="76"/>
    </row>
    <row r="53" spans="2:19" ht="15.75" customHeight="1">
      <c r="B53" s="76"/>
      <c r="C53" s="86"/>
      <c r="D53" s="87"/>
      <c r="E53" s="88"/>
      <c r="F53" s="37" t="s">
        <v>149</v>
      </c>
      <c r="G53" s="37" t="s">
        <v>150</v>
      </c>
      <c r="H53" s="37" t="s">
        <v>151</v>
      </c>
      <c r="I53" s="37" t="s">
        <v>152</v>
      </c>
      <c r="J53" s="37" t="s">
        <v>153</v>
      </c>
      <c r="K53" s="37" t="s">
        <v>149</v>
      </c>
      <c r="L53" s="37" t="s">
        <v>150</v>
      </c>
      <c r="M53" s="37" t="s">
        <v>151</v>
      </c>
      <c r="N53" s="37" t="s">
        <v>152</v>
      </c>
      <c r="O53" s="37" t="s">
        <v>153</v>
      </c>
      <c r="P53" s="37" t="s">
        <v>149</v>
      </c>
      <c r="Q53" s="37" t="s">
        <v>150</v>
      </c>
      <c r="R53" s="76"/>
      <c r="S53" s="76"/>
    </row>
    <row r="54" spans="2:19" ht="15.75" customHeight="1">
      <c r="B54" s="77"/>
      <c r="C54" s="89"/>
      <c r="D54" s="90"/>
      <c r="E54" s="91"/>
      <c r="F54" s="37">
        <v>16</v>
      </c>
      <c r="G54" s="37">
        <v>17</v>
      </c>
      <c r="H54" s="37">
        <v>20</v>
      </c>
      <c r="I54" s="37">
        <v>21</v>
      </c>
      <c r="J54" s="37">
        <v>22</v>
      </c>
      <c r="K54" s="37">
        <v>23</v>
      </c>
      <c r="L54" s="37">
        <v>24</v>
      </c>
      <c r="M54" s="37">
        <v>27</v>
      </c>
      <c r="N54" s="37">
        <v>28</v>
      </c>
      <c r="O54" s="37">
        <v>29</v>
      </c>
      <c r="P54" s="37">
        <v>30</v>
      </c>
      <c r="Q54" s="37">
        <v>31</v>
      </c>
      <c r="R54" s="77"/>
      <c r="S54" s="77"/>
    </row>
    <row r="55" spans="2:19" ht="15.75" customHeight="1">
      <c r="B55" s="23">
        <v>27</v>
      </c>
      <c r="C55" s="82" t="str">
        <f>Alumnos!C30&amp;" "&amp;Alumnos!D30&amp;" "&amp;Alumnos!E30</f>
        <v>Escobar Pineda Miguel Luis</v>
      </c>
      <c r="D55" s="71"/>
      <c r="E55" s="72"/>
      <c r="F55" s="38" t="s">
        <v>142</v>
      </c>
      <c r="G55" s="39" t="s">
        <v>140</v>
      </c>
      <c r="H55" s="38" t="s">
        <v>142</v>
      </c>
      <c r="I55" s="38" t="s">
        <v>142</v>
      </c>
      <c r="J55" s="38" t="s">
        <v>140</v>
      </c>
      <c r="K55" s="38" t="s">
        <v>140</v>
      </c>
      <c r="L55" s="38" t="s">
        <v>140</v>
      </c>
      <c r="M55" s="38" t="s">
        <v>140</v>
      </c>
      <c r="N55" s="38" t="s">
        <v>140</v>
      </c>
      <c r="O55" s="38" t="s">
        <v>140</v>
      </c>
      <c r="P55" s="38" t="s">
        <v>140</v>
      </c>
      <c r="Q55" s="38" t="s">
        <v>140</v>
      </c>
      <c r="R55" s="25">
        <f t="shared" ref="R55:R65" si="4">COUNTIF(F55:Q55,$U$2)</f>
        <v>9</v>
      </c>
      <c r="S55" s="25">
        <f t="shared" ref="S55:S65" si="5">COUNTIF(F55:Q55,$U$3)</f>
        <v>3</v>
      </c>
    </row>
    <row r="56" spans="2:19" ht="15.75" customHeight="1">
      <c r="B56" s="23">
        <v>28</v>
      </c>
      <c r="C56" s="82" t="str">
        <f>Alumnos!C31&amp;" "&amp;Alumnos!D31&amp;" "&amp;Alumnos!E31</f>
        <v>Vasquez Chávez Luna Juana</v>
      </c>
      <c r="D56" s="71"/>
      <c r="E56" s="72"/>
      <c r="F56" s="40" t="s">
        <v>140</v>
      </c>
      <c r="G56" s="41" t="s">
        <v>140</v>
      </c>
      <c r="H56" s="41" t="s">
        <v>140</v>
      </c>
      <c r="I56" s="38" t="s">
        <v>140</v>
      </c>
      <c r="J56" s="38" t="s">
        <v>140</v>
      </c>
      <c r="K56" s="38" t="s">
        <v>140</v>
      </c>
      <c r="L56" s="38" t="s">
        <v>140</v>
      </c>
      <c r="M56" s="38" t="s">
        <v>140</v>
      </c>
      <c r="N56" s="38" t="s">
        <v>140</v>
      </c>
      <c r="O56" s="38" t="s">
        <v>140</v>
      </c>
      <c r="P56" s="38" t="s">
        <v>140</v>
      </c>
      <c r="Q56" s="38" t="s">
        <v>140</v>
      </c>
      <c r="R56" s="25">
        <f t="shared" si="4"/>
        <v>12</v>
      </c>
      <c r="S56" s="25">
        <f t="shared" si="5"/>
        <v>0</v>
      </c>
    </row>
    <row r="57" spans="2:19" ht="15.75" customHeight="1">
      <c r="B57" s="23">
        <v>29</v>
      </c>
      <c r="C57" s="82" t="str">
        <f>Alumnos!C32&amp;" "&amp;Alumnos!D32&amp;" "&amp;Alumnos!E32</f>
        <v>Rojas Pérez Julia</v>
      </c>
      <c r="D57" s="71"/>
      <c r="E57" s="72"/>
      <c r="F57" s="38" t="s">
        <v>140</v>
      </c>
      <c r="G57" s="42" t="s">
        <v>142</v>
      </c>
      <c r="H57" s="38" t="s">
        <v>140</v>
      </c>
      <c r="I57" s="38" t="s">
        <v>140</v>
      </c>
      <c r="J57" s="38" t="s">
        <v>140</v>
      </c>
      <c r="K57" s="38" t="s">
        <v>140</v>
      </c>
      <c r="L57" s="38" t="s">
        <v>140</v>
      </c>
      <c r="M57" s="38" t="s">
        <v>140</v>
      </c>
      <c r="N57" s="38" t="s">
        <v>140</v>
      </c>
      <c r="O57" s="38" t="s">
        <v>140</v>
      </c>
      <c r="P57" s="38" t="s">
        <v>142</v>
      </c>
      <c r="Q57" s="38" t="s">
        <v>142</v>
      </c>
      <c r="R57" s="25">
        <f t="shared" si="4"/>
        <v>9</v>
      </c>
      <c r="S57" s="25">
        <f t="shared" si="5"/>
        <v>3</v>
      </c>
    </row>
    <row r="58" spans="2:19" ht="15.75" customHeight="1">
      <c r="B58" s="23">
        <v>30</v>
      </c>
      <c r="C58" s="82" t="str">
        <f>Alumnos!C33&amp;" "&amp;Alumnos!D33&amp;" "&amp;Alumnos!E33</f>
        <v>Perez Pineda Isabella</v>
      </c>
      <c r="D58" s="71"/>
      <c r="E58" s="72"/>
      <c r="F58" s="38" t="s">
        <v>140</v>
      </c>
      <c r="G58" s="38" t="s">
        <v>140</v>
      </c>
      <c r="H58" s="38" t="s">
        <v>140</v>
      </c>
      <c r="I58" s="38" t="s">
        <v>140</v>
      </c>
      <c r="J58" s="38" t="s">
        <v>140</v>
      </c>
      <c r="K58" s="38" t="s">
        <v>142</v>
      </c>
      <c r="L58" s="38" t="s">
        <v>140</v>
      </c>
      <c r="M58" s="38" t="s">
        <v>140</v>
      </c>
      <c r="N58" s="35" t="s">
        <v>140</v>
      </c>
      <c r="O58" s="35" t="s">
        <v>142</v>
      </c>
      <c r="P58" s="38" t="s">
        <v>140</v>
      </c>
      <c r="Q58" s="38" t="s">
        <v>140</v>
      </c>
      <c r="R58" s="25">
        <f t="shared" si="4"/>
        <v>10</v>
      </c>
      <c r="S58" s="25">
        <f t="shared" si="5"/>
        <v>2</v>
      </c>
    </row>
    <row r="59" spans="2:19" ht="15.75" customHeight="1">
      <c r="B59" s="23">
        <v>31</v>
      </c>
      <c r="C59" s="82" t="str">
        <f>Alumnos!C34&amp;" "&amp;Alumnos!D34&amp;" "&amp;Alumnos!E34</f>
        <v>Garcia Moreno Roberto</v>
      </c>
      <c r="D59" s="71"/>
      <c r="E59" s="72"/>
      <c r="F59" s="38" t="s">
        <v>140</v>
      </c>
      <c r="G59" s="38" t="s">
        <v>140</v>
      </c>
      <c r="H59" s="38" t="s">
        <v>140</v>
      </c>
      <c r="I59" s="35" t="s">
        <v>140</v>
      </c>
      <c r="J59" s="38" t="s">
        <v>140</v>
      </c>
      <c r="K59" s="38" t="s">
        <v>140</v>
      </c>
      <c r="L59" s="38" t="s">
        <v>140</v>
      </c>
      <c r="M59" s="38" t="s">
        <v>140</v>
      </c>
      <c r="N59" s="38" t="s">
        <v>140</v>
      </c>
      <c r="O59" s="38" t="s">
        <v>140</v>
      </c>
      <c r="P59" s="38" t="s">
        <v>140</v>
      </c>
      <c r="Q59" s="38" t="s">
        <v>140</v>
      </c>
      <c r="R59" s="25">
        <f t="shared" si="4"/>
        <v>12</v>
      </c>
      <c r="S59" s="25">
        <f t="shared" si="5"/>
        <v>0</v>
      </c>
    </row>
    <row r="60" spans="2:19" ht="15.75" customHeight="1">
      <c r="B60" s="23">
        <v>32</v>
      </c>
      <c r="C60" s="82" t="str">
        <f>Alumnos!C35&amp;" "&amp;Alumnos!D35&amp;" "&amp;Alumnos!E35</f>
        <v>Silva Vega Maria</v>
      </c>
      <c r="D60" s="71"/>
      <c r="E60" s="72"/>
      <c r="F60" s="38" t="s">
        <v>140</v>
      </c>
      <c r="G60" s="38" t="s">
        <v>140</v>
      </c>
      <c r="H60" s="38" t="s">
        <v>140</v>
      </c>
      <c r="I60" s="38" t="s">
        <v>142</v>
      </c>
      <c r="J60" s="38" t="s">
        <v>140</v>
      </c>
      <c r="K60" s="38" t="s">
        <v>140</v>
      </c>
      <c r="L60" s="38" t="s">
        <v>140</v>
      </c>
      <c r="M60" s="38" t="s">
        <v>140</v>
      </c>
      <c r="N60" s="38" t="s">
        <v>140</v>
      </c>
      <c r="O60" s="38" t="s">
        <v>140</v>
      </c>
      <c r="P60" s="38" t="s">
        <v>140</v>
      </c>
      <c r="Q60" s="38" t="s">
        <v>140</v>
      </c>
      <c r="R60" s="25">
        <f t="shared" si="4"/>
        <v>11</v>
      </c>
      <c r="S60" s="25">
        <f t="shared" si="5"/>
        <v>1</v>
      </c>
    </row>
    <row r="61" spans="2:19" ht="15.75" customHeight="1">
      <c r="B61" s="23">
        <v>33</v>
      </c>
      <c r="C61" s="82" t="str">
        <f>Alumnos!C36&amp;" "&amp;Alumnos!D36&amp;" "&amp;Alumnos!E36</f>
        <v>Salazar Rodríguez Raquel Sofia</v>
      </c>
      <c r="D61" s="71"/>
      <c r="E61" s="72"/>
      <c r="F61" s="38" t="s">
        <v>140</v>
      </c>
      <c r="G61" s="35" t="s">
        <v>140</v>
      </c>
      <c r="H61" s="35" t="s">
        <v>140</v>
      </c>
      <c r="I61" s="38" t="s">
        <v>140</v>
      </c>
      <c r="J61" s="38" t="s">
        <v>140</v>
      </c>
      <c r="K61" s="38" t="s">
        <v>140</v>
      </c>
      <c r="L61" s="38" t="s">
        <v>140</v>
      </c>
      <c r="M61" s="38" t="s">
        <v>140</v>
      </c>
      <c r="N61" s="38" t="s">
        <v>142</v>
      </c>
      <c r="O61" s="38" t="s">
        <v>140</v>
      </c>
      <c r="P61" s="38" t="s">
        <v>140</v>
      </c>
      <c r="Q61" s="38" t="s">
        <v>140</v>
      </c>
      <c r="R61" s="25">
        <f t="shared" si="4"/>
        <v>11</v>
      </c>
      <c r="S61" s="25">
        <f t="shared" si="5"/>
        <v>1</v>
      </c>
    </row>
    <row r="62" spans="2:19" ht="15.75" customHeight="1">
      <c r="B62" s="23">
        <v>34</v>
      </c>
      <c r="C62" s="82" t="str">
        <f>Alumnos!C37&amp;" "&amp;Alumnos!D37&amp;" "&amp;Alumnos!E37</f>
        <v>Herrera Flores Daniela Noemi</v>
      </c>
      <c r="D62" s="71"/>
      <c r="E62" s="72"/>
      <c r="F62" s="38" t="s">
        <v>140</v>
      </c>
      <c r="G62" s="38" t="s">
        <v>140</v>
      </c>
      <c r="H62" s="38" t="s">
        <v>140</v>
      </c>
      <c r="I62" s="38" t="s">
        <v>140</v>
      </c>
      <c r="J62" s="38" t="s">
        <v>140</v>
      </c>
      <c r="K62" s="38" t="s">
        <v>140</v>
      </c>
      <c r="L62" s="38" t="s">
        <v>140</v>
      </c>
      <c r="M62" s="38" t="s">
        <v>140</v>
      </c>
      <c r="N62" s="38" t="s">
        <v>140</v>
      </c>
      <c r="O62" s="38" t="s">
        <v>140</v>
      </c>
      <c r="P62" s="38" t="s">
        <v>140</v>
      </c>
      <c r="Q62" s="35" t="s">
        <v>140</v>
      </c>
      <c r="R62" s="25">
        <f t="shared" si="4"/>
        <v>12</v>
      </c>
      <c r="S62" s="25">
        <f t="shared" si="5"/>
        <v>0</v>
      </c>
    </row>
    <row r="63" spans="2:19" ht="15.75" customHeight="1">
      <c r="B63" s="23">
        <v>35</v>
      </c>
      <c r="C63" s="82" t="str">
        <f>Alumnos!C38&amp;" "&amp;Alumnos!D38&amp;" "&amp;Alumnos!E38</f>
        <v>Silva Cruz Sofia</v>
      </c>
      <c r="D63" s="71"/>
      <c r="E63" s="72"/>
      <c r="F63" s="38" t="s">
        <v>140</v>
      </c>
      <c r="G63" s="38" t="s">
        <v>140</v>
      </c>
      <c r="H63" s="38" t="s">
        <v>142</v>
      </c>
      <c r="I63" s="38" t="s">
        <v>142</v>
      </c>
      <c r="J63" s="38" t="s">
        <v>140</v>
      </c>
      <c r="K63" s="35" t="s">
        <v>140</v>
      </c>
      <c r="L63" s="38" t="s">
        <v>140</v>
      </c>
      <c r="M63" s="38" t="s">
        <v>140</v>
      </c>
      <c r="N63" s="38" t="s">
        <v>140</v>
      </c>
      <c r="O63" s="38" t="s">
        <v>140</v>
      </c>
      <c r="P63" s="38" t="s">
        <v>140</v>
      </c>
      <c r="Q63" s="35" t="s">
        <v>140</v>
      </c>
      <c r="R63" s="25">
        <f t="shared" si="4"/>
        <v>10</v>
      </c>
      <c r="S63" s="25">
        <f t="shared" si="5"/>
        <v>2</v>
      </c>
    </row>
    <row r="64" spans="2:19" ht="15.75" customHeight="1">
      <c r="B64" s="23">
        <v>36</v>
      </c>
      <c r="C64" s="82" t="str">
        <f>Alumnos!C39&amp;" "&amp;Alumnos!D39&amp;" "&amp;Alumnos!E39</f>
        <v>Alvaréz Pérez Julian</v>
      </c>
      <c r="D64" s="71"/>
      <c r="E64" s="72"/>
      <c r="F64" s="38" t="s">
        <v>140</v>
      </c>
      <c r="G64" s="38" t="s">
        <v>140</v>
      </c>
      <c r="H64" s="38" t="s">
        <v>140</v>
      </c>
      <c r="I64" s="38" t="s">
        <v>140</v>
      </c>
      <c r="J64" s="38" t="s">
        <v>140</v>
      </c>
      <c r="K64" s="38" t="s">
        <v>140</v>
      </c>
      <c r="L64" s="38" t="s">
        <v>140</v>
      </c>
      <c r="M64" s="38" t="s">
        <v>140</v>
      </c>
      <c r="N64" s="38" t="s">
        <v>140</v>
      </c>
      <c r="O64" s="38" t="s">
        <v>140</v>
      </c>
      <c r="P64" s="38" t="s">
        <v>140</v>
      </c>
      <c r="Q64" s="38" t="s">
        <v>140</v>
      </c>
      <c r="R64" s="25">
        <f t="shared" si="4"/>
        <v>12</v>
      </c>
      <c r="S64" s="25">
        <f t="shared" si="5"/>
        <v>0</v>
      </c>
    </row>
    <row r="65" spans="2:19" ht="15.75" customHeight="1">
      <c r="B65" s="23">
        <v>37</v>
      </c>
      <c r="C65" s="82" t="str">
        <f>Alumnos!C40&amp;" "&amp;Alumnos!D40&amp;" "&amp;Alumnos!E40</f>
        <v>Cardenas Cadena Noemi Marisol</v>
      </c>
      <c r="D65" s="71"/>
      <c r="E65" s="72"/>
      <c r="F65" s="38" t="s">
        <v>142</v>
      </c>
      <c r="G65" s="38" t="s">
        <v>140</v>
      </c>
      <c r="H65" s="38" t="s">
        <v>140</v>
      </c>
      <c r="I65" s="35" t="s">
        <v>140</v>
      </c>
      <c r="J65" s="38" t="s">
        <v>140</v>
      </c>
      <c r="K65" s="38" t="s">
        <v>140</v>
      </c>
      <c r="L65" s="38" t="s">
        <v>140</v>
      </c>
      <c r="M65" s="38" t="s">
        <v>140</v>
      </c>
      <c r="N65" s="38" t="s">
        <v>140</v>
      </c>
      <c r="O65" s="38" t="s">
        <v>140</v>
      </c>
      <c r="P65" s="38" t="s">
        <v>140</v>
      </c>
      <c r="Q65" s="38" t="s">
        <v>140</v>
      </c>
      <c r="R65" s="25">
        <f t="shared" si="4"/>
        <v>11</v>
      </c>
      <c r="S65" s="25">
        <f t="shared" si="5"/>
        <v>1</v>
      </c>
    </row>
    <row r="66" spans="2:19" ht="15.75" customHeight="1">
      <c r="B66" s="44"/>
      <c r="C66" s="92"/>
      <c r="D66" s="87"/>
      <c r="E66" s="87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</row>
    <row r="67" spans="2:19" ht="15.75" customHeight="1">
      <c r="B67" s="44"/>
      <c r="C67" s="92"/>
      <c r="D67" s="87"/>
      <c r="E67" s="87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</row>
    <row r="68" spans="2:19" ht="15.75" customHeight="1">
      <c r="B68" s="44"/>
      <c r="C68" s="92"/>
      <c r="D68" s="87"/>
      <c r="E68" s="87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</row>
    <row r="69" spans="2:19" ht="15.75" customHeight="1"/>
    <row r="70" spans="2:19" ht="15.75" customHeight="1"/>
    <row r="71" spans="2:19" ht="15.75" customHeight="1"/>
    <row r="72" spans="2:19" ht="15.75" customHeight="1"/>
    <row r="73" spans="2:19" ht="15.75" customHeight="1"/>
    <row r="74" spans="2:19" ht="15.75" customHeight="1"/>
    <row r="75" spans="2:19" ht="15.75" customHeight="1"/>
    <row r="76" spans="2:19" ht="15.75" customHeight="1"/>
    <row r="77" spans="2:19" ht="15.75" customHeight="1"/>
    <row r="78" spans="2:19" ht="15.75" customHeight="1"/>
    <row r="79" spans="2:19" ht="15.75" customHeight="1"/>
    <row r="80" spans="2:19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4">
    <mergeCell ref="C66:E66"/>
    <mergeCell ref="C67:E67"/>
    <mergeCell ref="C68:E68"/>
    <mergeCell ref="C51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B5:B8"/>
    <mergeCell ref="F5:Q5"/>
    <mergeCell ref="R5:R8"/>
    <mergeCell ref="S5:S8"/>
    <mergeCell ref="F6:G6"/>
    <mergeCell ref="H6:L6"/>
    <mergeCell ref="M6:Q6"/>
    <mergeCell ref="C5:E8"/>
    <mergeCell ref="C9:E9"/>
    <mergeCell ref="C10:E10"/>
    <mergeCell ref="C11:E11"/>
    <mergeCell ref="C12:E12"/>
    <mergeCell ref="C13:E13"/>
    <mergeCell ref="C14:E14"/>
    <mergeCell ref="C28:E31"/>
    <mergeCell ref="F28:Q28"/>
    <mergeCell ref="R28:R31"/>
    <mergeCell ref="S28:S31"/>
    <mergeCell ref="F29:G29"/>
    <mergeCell ref="H29:L29"/>
    <mergeCell ref="M29:Q29"/>
    <mergeCell ref="C15:E15"/>
    <mergeCell ref="C16:E16"/>
    <mergeCell ref="C17:E17"/>
    <mergeCell ref="C18:E18"/>
    <mergeCell ref="C19:E19"/>
    <mergeCell ref="C20:E20"/>
    <mergeCell ref="B28:B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B51:B54"/>
    <mergeCell ref="F51:Q51"/>
    <mergeCell ref="R51:R54"/>
    <mergeCell ref="S51:S54"/>
    <mergeCell ref="F52:G52"/>
    <mergeCell ref="H52:L52"/>
    <mergeCell ref="M52:Q52"/>
  </mergeCells>
  <conditionalFormatting sqref="F9:Q20">
    <cfRule type="cellIs" dxfId="2" priority="1" operator="equal">
      <formula>"/"</formula>
    </cfRule>
  </conditionalFormatting>
  <conditionalFormatting sqref="F32:Q45">
    <cfRule type="cellIs" dxfId="1" priority="2" operator="equal">
      <formula>"/"</formula>
    </cfRule>
  </conditionalFormatting>
  <conditionalFormatting sqref="F55:Q65">
    <cfRule type="cellIs" dxfId="0" priority="3" operator="equal">
      <formula>"/"</formula>
    </cfRule>
  </conditionalFormatting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Boleta"/>
  <dimension ref="B1:K1000"/>
  <sheetViews>
    <sheetView workbookViewId="0">
      <selection activeCell="A7" sqref="A7"/>
    </sheetView>
  </sheetViews>
  <sheetFormatPr baseColWidth="10" defaultColWidth="11.21875" defaultRowHeight="15" customHeight="1"/>
  <cols>
    <col min="1" max="2" width="10.44140625" customWidth="1"/>
    <col min="3" max="3" width="29.77734375" customWidth="1"/>
    <col min="4" max="4" width="10.44140625" customWidth="1"/>
    <col min="5" max="5" width="17.6640625" customWidth="1"/>
    <col min="6" max="6" width="8.33203125" customWidth="1"/>
    <col min="7" max="7" width="8.21875" customWidth="1"/>
    <col min="8" max="8" width="7.44140625" customWidth="1"/>
    <col min="9" max="9" width="8.109375" customWidth="1"/>
    <col min="10" max="10" width="3.33203125" customWidth="1"/>
    <col min="11" max="11" width="9.88671875" customWidth="1"/>
    <col min="12" max="26" width="10.44140625" customWidth="1"/>
  </cols>
  <sheetData>
    <row r="1" spans="2:11" ht="15.75" customHeight="1"/>
    <row r="2" spans="2:11" ht="31.5" customHeight="1">
      <c r="E2" s="93" t="s">
        <v>154</v>
      </c>
      <c r="F2" s="94" t="s">
        <v>155</v>
      </c>
      <c r="G2" s="71"/>
      <c r="H2" s="71"/>
      <c r="I2" s="72"/>
    </row>
    <row r="3" spans="2:11" ht="15.75" customHeight="1">
      <c r="B3" s="52" t="s">
        <v>1</v>
      </c>
      <c r="C3" s="53">
        <v>27</v>
      </c>
      <c r="D3" s="54"/>
      <c r="E3" s="77"/>
      <c r="F3" s="55" t="s">
        <v>156</v>
      </c>
      <c r="G3" s="55" t="s">
        <v>157</v>
      </c>
      <c r="H3" s="55" t="s">
        <v>158</v>
      </c>
      <c r="I3" s="55" t="s">
        <v>159</v>
      </c>
      <c r="K3" s="56" t="s">
        <v>137</v>
      </c>
    </row>
    <row r="4" spans="2:11" ht="15.75" customHeight="1">
      <c r="B4" s="52" t="s">
        <v>4</v>
      </c>
      <c r="C4" s="38" t="str">
        <f>VLOOKUP(C3,Alumnos!$B$4:$K$40,2,FALSE)&amp;" "&amp;VLOOKUP(C3,Alumnos!$B$4:$K$40,3,FALSE)&amp;" "&amp;VLOOKUP(C3,Alumnos!$B$4:$K$40,4,FALSE)</f>
        <v>Escobar Pineda Miguel Luis</v>
      </c>
      <c r="E4" s="57" t="s">
        <v>131</v>
      </c>
      <c r="F4" s="25">
        <v>8</v>
      </c>
      <c r="G4" s="25">
        <v>10</v>
      </c>
      <c r="H4" s="25">
        <v>8</v>
      </c>
      <c r="I4" s="25">
        <v>10</v>
      </c>
      <c r="K4" s="58">
        <f t="shared" ref="K4:K9" si="0">AVERAGE(F4:I4)</f>
        <v>9</v>
      </c>
    </row>
    <row r="5" spans="2:11" ht="15.75" customHeight="1">
      <c r="B5" s="48" t="s">
        <v>8</v>
      </c>
      <c r="C5" s="59">
        <f>VLOOKUP(C3,Alumnos!$B$4:$K$40,8,FALSE)</f>
        <v>3</v>
      </c>
      <c r="E5" s="57" t="s">
        <v>132</v>
      </c>
      <c r="F5" s="25">
        <v>9</v>
      </c>
      <c r="G5" s="25">
        <v>9</v>
      </c>
      <c r="H5" s="25">
        <v>8</v>
      </c>
      <c r="I5" s="25">
        <v>10</v>
      </c>
      <c r="K5" s="58">
        <f t="shared" si="0"/>
        <v>9</v>
      </c>
    </row>
    <row r="6" spans="2:11" ht="15.75" customHeight="1">
      <c r="B6" s="48" t="s">
        <v>9</v>
      </c>
      <c r="C6" s="60" t="str">
        <f>VLOOKUP(C3,Alumnos!$B$4:$K$40,9,FALSE)</f>
        <v>3°A</v>
      </c>
      <c r="E6" s="57" t="s">
        <v>133</v>
      </c>
      <c r="F6" s="25">
        <v>8</v>
      </c>
      <c r="G6" s="25">
        <v>7</v>
      </c>
      <c r="H6" s="25">
        <v>10</v>
      </c>
      <c r="I6" s="25">
        <v>10</v>
      </c>
      <c r="K6" s="58">
        <f t="shared" si="0"/>
        <v>8.75</v>
      </c>
    </row>
    <row r="7" spans="2:11" ht="15.75" customHeight="1">
      <c r="B7" s="52" t="s">
        <v>10</v>
      </c>
      <c r="C7" s="38" t="str">
        <f>VLOOKUP(C3,Alumnos!$B$4:$K$40,10,FALSE)</f>
        <v>Perez Cosio Juan Roman</v>
      </c>
      <c r="E7" s="57" t="s">
        <v>134</v>
      </c>
      <c r="F7" s="25">
        <v>10</v>
      </c>
      <c r="G7" s="25">
        <v>8</v>
      </c>
      <c r="H7" s="25">
        <v>9</v>
      </c>
      <c r="I7" s="25">
        <v>10</v>
      </c>
      <c r="K7" s="58">
        <f t="shared" si="0"/>
        <v>9.25</v>
      </c>
    </row>
    <row r="8" spans="2:11" ht="15.75" customHeight="1">
      <c r="E8" s="57" t="s">
        <v>135</v>
      </c>
      <c r="F8" s="25">
        <v>8</v>
      </c>
      <c r="G8" s="25">
        <v>7</v>
      </c>
      <c r="H8" s="25">
        <v>8</v>
      </c>
      <c r="I8" s="25">
        <v>8</v>
      </c>
      <c r="K8" s="58">
        <f t="shared" si="0"/>
        <v>7.75</v>
      </c>
    </row>
    <row r="9" spans="2:11" ht="15.75" customHeight="1">
      <c r="E9" s="57" t="s">
        <v>160</v>
      </c>
      <c r="F9" s="25">
        <v>9</v>
      </c>
      <c r="G9" s="25">
        <v>10</v>
      </c>
      <c r="H9" s="25">
        <v>10</v>
      </c>
      <c r="I9" s="25">
        <v>8</v>
      </c>
      <c r="K9" s="58">
        <f t="shared" si="0"/>
        <v>9.25</v>
      </c>
    </row>
    <row r="10" spans="2:11" ht="15.75" customHeight="1">
      <c r="K10" s="61"/>
    </row>
    <row r="11" spans="2:11" ht="15.75" customHeight="1">
      <c r="E11" s="52" t="s">
        <v>137</v>
      </c>
      <c r="F11" s="58">
        <f t="shared" ref="F11:I11" si="1">AVERAGE(F4:F9)</f>
        <v>8.6666666666666661</v>
      </c>
      <c r="G11" s="58">
        <f t="shared" si="1"/>
        <v>8.5</v>
      </c>
      <c r="H11" s="58">
        <f t="shared" si="1"/>
        <v>8.8333333333333339</v>
      </c>
      <c r="I11" s="58">
        <f t="shared" si="1"/>
        <v>9.3333333333333339</v>
      </c>
      <c r="K11" s="61"/>
    </row>
    <row r="12" spans="2:11" ht="15.75" customHeight="1">
      <c r="K12" s="61"/>
    </row>
    <row r="13" spans="2:11" ht="15.75" customHeight="1">
      <c r="K13" s="61"/>
    </row>
    <row r="14" spans="2:11" ht="15.75" customHeight="1">
      <c r="K14" s="61"/>
    </row>
    <row r="15" spans="2:11" ht="15.75" customHeight="1">
      <c r="E15" s="93" t="s">
        <v>154</v>
      </c>
      <c r="F15" s="94" t="s">
        <v>155</v>
      </c>
      <c r="G15" s="71"/>
      <c r="H15" s="71"/>
      <c r="I15" s="72"/>
    </row>
    <row r="16" spans="2:11" ht="15.75" customHeight="1">
      <c r="B16" s="52" t="s">
        <v>1</v>
      </c>
      <c r="C16" s="53">
        <v>28</v>
      </c>
      <c r="D16" s="54"/>
      <c r="E16" s="77"/>
      <c r="F16" s="55" t="s">
        <v>156</v>
      </c>
      <c r="G16" s="55" t="s">
        <v>157</v>
      </c>
      <c r="H16" s="55" t="s">
        <v>158</v>
      </c>
      <c r="I16" s="55" t="s">
        <v>159</v>
      </c>
      <c r="K16" s="56" t="s">
        <v>137</v>
      </c>
    </row>
    <row r="17" spans="2:11" ht="15.75" customHeight="1">
      <c r="B17" s="52" t="s">
        <v>4</v>
      </c>
      <c r="C17" s="38" t="str">
        <f>VLOOKUP(C16,Alumnos!$B$4:$K$40,2,FALSE)&amp;" "&amp;VLOOKUP(C16,Alumnos!$B$4:$K$40,3,FALSE)&amp;" "&amp;VLOOKUP(C16,Alumnos!$B$4:$K$40,4,FALSE)</f>
        <v>Vasquez Chávez Luna Juana</v>
      </c>
      <c r="E17" s="57" t="s">
        <v>131</v>
      </c>
      <c r="F17" s="25">
        <v>10</v>
      </c>
      <c r="G17" s="25">
        <v>8</v>
      </c>
      <c r="H17" s="25">
        <v>8</v>
      </c>
      <c r="I17" s="25">
        <v>9</v>
      </c>
      <c r="K17" s="58">
        <f t="shared" ref="K17:K22" si="2">AVERAGE(F17:I17)</f>
        <v>8.75</v>
      </c>
    </row>
    <row r="18" spans="2:11" ht="15.75" customHeight="1">
      <c r="B18" s="48" t="s">
        <v>8</v>
      </c>
      <c r="C18" s="59">
        <f>VLOOKUP(C16,Alumnos!$B$4:$K$40,8,FALSE)</f>
        <v>3</v>
      </c>
      <c r="E18" s="57" t="s">
        <v>132</v>
      </c>
      <c r="F18" s="25">
        <v>7</v>
      </c>
      <c r="G18" s="25">
        <v>9</v>
      </c>
      <c r="H18" s="25">
        <v>10</v>
      </c>
      <c r="I18" s="25">
        <v>7</v>
      </c>
      <c r="K18" s="58">
        <f t="shared" si="2"/>
        <v>8.25</v>
      </c>
    </row>
    <row r="19" spans="2:11" ht="15.75" customHeight="1">
      <c r="B19" s="48" t="s">
        <v>9</v>
      </c>
      <c r="C19" s="60" t="str">
        <f>VLOOKUP(C16,Alumnos!$B$4:$K$40,9,FALSE)</f>
        <v>3°A</v>
      </c>
      <c r="E19" s="57" t="s">
        <v>133</v>
      </c>
      <c r="F19" s="25">
        <v>8</v>
      </c>
      <c r="G19" s="25">
        <v>10</v>
      </c>
      <c r="H19" s="25">
        <v>7</v>
      </c>
      <c r="I19" s="25">
        <v>8</v>
      </c>
      <c r="K19" s="58">
        <f t="shared" si="2"/>
        <v>8.25</v>
      </c>
    </row>
    <row r="20" spans="2:11" ht="15.75" customHeight="1">
      <c r="B20" s="52" t="s">
        <v>10</v>
      </c>
      <c r="C20" s="38" t="str">
        <f>VLOOKUP(C16,Alumnos!$B$4:$K$40,10,FALSE)</f>
        <v>Perez Cosio Juan Roman</v>
      </c>
      <c r="E20" s="57" t="s">
        <v>134</v>
      </c>
      <c r="F20" s="25">
        <v>10</v>
      </c>
      <c r="G20" s="25">
        <v>8</v>
      </c>
      <c r="H20" s="25">
        <v>8</v>
      </c>
      <c r="I20" s="25">
        <v>9</v>
      </c>
      <c r="K20" s="58">
        <f t="shared" si="2"/>
        <v>8.75</v>
      </c>
    </row>
    <row r="21" spans="2:11" ht="15.75" customHeight="1">
      <c r="C21" t="str">
        <f>Alumnos!C18&amp;" "&amp;Alumnos!D18&amp;" "&amp;Alumnos!E18</f>
        <v>Santos Vásquez Paula</v>
      </c>
      <c r="E21" s="57" t="s">
        <v>135</v>
      </c>
      <c r="F21" s="25">
        <v>9</v>
      </c>
      <c r="G21" s="25">
        <v>9</v>
      </c>
      <c r="H21" s="25">
        <v>9</v>
      </c>
      <c r="I21" s="25">
        <v>10</v>
      </c>
      <c r="K21" s="58">
        <f t="shared" si="2"/>
        <v>9.25</v>
      </c>
    </row>
    <row r="22" spans="2:11" ht="15.75" customHeight="1">
      <c r="E22" s="57" t="s">
        <v>160</v>
      </c>
      <c r="F22" s="25">
        <v>7</v>
      </c>
      <c r="G22" s="25">
        <v>6</v>
      </c>
      <c r="H22" s="25">
        <v>7</v>
      </c>
      <c r="I22" s="25">
        <v>8</v>
      </c>
      <c r="K22" s="58">
        <f t="shared" si="2"/>
        <v>7</v>
      </c>
    </row>
    <row r="23" spans="2:11" ht="15.75" customHeight="1">
      <c r="K23" s="61"/>
    </row>
    <row r="24" spans="2:11" ht="15.75" customHeight="1">
      <c r="E24" s="52" t="s">
        <v>137</v>
      </c>
      <c r="F24" s="58">
        <f t="shared" ref="F24:I24" si="3">AVERAGE(F17:F22)</f>
        <v>8.5</v>
      </c>
      <c r="G24" s="58">
        <f t="shared" si="3"/>
        <v>8.3333333333333339</v>
      </c>
      <c r="H24" s="58">
        <f t="shared" si="3"/>
        <v>8.1666666666666661</v>
      </c>
      <c r="I24" s="58">
        <f t="shared" si="3"/>
        <v>8.5</v>
      </c>
      <c r="K24" s="61"/>
    </row>
    <row r="25" spans="2:11" ht="15.75" customHeight="1">
      <c r="E25" s="51"/>
      <c r="F25" s="62"/>
      <c r="G25" s="62"/>
      <c r="H25" s="62"/>
      <c r="I25" s="62"/>
      <c r="K25" s="61"/>
    </row>
    <row r="26" spans="2:11" ht="15.75" customHeight="1">
      <c r="E26" s="51"/>
      <c r="F26" s="62"/>
      <c r="G26" s="62"/>
      <c r="H26" s="62"/>
      <c r="I26" s="62"/>
      <c r="K26" s="61"/>
    </row>
    <row r="27" spans="2:11" ht="15.75" customHeight="1">
      <c r="K27" s="61"/>
    </row>
    <row r="28" spans="2:11" ht="15.75" customHeight="1">
      <c r="E28" s="93" t="s">
        <v>154</v>
      </c>
      <c r="F28" s="94" t="s">
        <v>155</v>
      </c>
      <c r="G28" s="71"/>
      <c r="H28" s="71"/>
      <c r="I28" s="72"/>
    </row>
    <row r="29" spans="2:11" ht="15.75" customHeight="1">
      <c r="B29" s="52" t="s">
        <v>1</v>
      </c>
      <c r="C29" s="53">
        <v>29</v>
      </c>
      <c r="D29" s="54"/>
      <c r="E29" s="77"/>
      <c r="F29" s="55" t="s">
        <v>156</v>
      </c>
      <c r="G29" s="55" t="s">
        <v>157</v>
      </c>
      <c r="H29" s="55" t="s">
        <v>158</v>
      </c>
      <c r="I29" s="55" t="s">
        <v>159</v>
      </c>
      <c r="K29" s="56" t="s">
        <v>137</v>
      </c>
    </row>
    <row r="30" spans="2:11" ht="15.75" customHeight="1">
      <c r="B30" s="52" t="s">
        <v>4</v>
      </c>
      <c r="C30" s="38" t="str">
        <f>VLOOKUP(C29,Alumnos!$B$4:$K$40,2,FALSE)&amp;" "&amp;VLOOKUP(C29,Alumnos!$B$4:$K$40,3,FALSE)&amp;" "&amp;VLOOKUP(C29,Alumnos!$B$4:$K$40,4,FALSE)</f>
        <v>Rojas Pérez Julia</v>
      </c>
      <c r="E30" s="57" t="s">
        <v>131</v>
      </c>
      <c r="F30" s="25">
        <v>10</v>
      </c>
      <c r="G30" s="25">
        <v>8</v>
      </c>
      <c r="H30" s="25">
        <v>8</v>
      </c>
      <c r="I30" s="25">
        <v>9</v>
      </c>
      <c r="K30" s="63">
        <f t="shared" ref="K30:K35" si="4">AVERAGE(F30:I30)</f>
        <v>8.75</v>
      </c>
    </row>
    <row r="31" spans="2:11" ht="15.75" customHeight="1">
      <c r="B31" s="48" t="s">
        <v>8</v>
      </c>
      <c r="C31" s="59">
        <f>VLOOKUP(C29,Alumnos!$B$4:$K$40,8,FALSE)</f>
        <v>3</v>
      </c>
      <c r="E31" s="57" t="s">
        <v>132</v>
      </c>
      <c r="F31" s="25">
        <v>6</v>
      </c>
      <c r="G31" s="25">
        <v>10</v>
      </c>
      <c r="H31" s="25">
        <v>10</v>
      </c>
      <c r="I31" s="25">
        <v>9</v>
      </c>
      <c r="K31" s="63">
        <f t="shared" si="4"/>
        <v>8.75</v>
      </c>
    </row>
    <row r="32" spans="2:11" ht="15.75" customHeight="1">
      <c r="B32" s="48" t="s">
        <v>9</v>
      </c>
      <c r="C32" s="60" t="str">
        <f>VLOOKUP(C29,Alumnos!$B$4:$K$40,9,FALSE)</f>
        <v>3°A</v>
      </c>
      <c r="E32" s="57" t="s">
        <v>133</v>
      </c>
      <c r="F32" s="25">
        <v>8</v>
      </c>
      <c r="G32" s="25">
        <v>10</v>
      </c>
      <c r="H32" s="25">
        <v>7</v>
      </c>
      <c r="I32" s="25">
        <v>9</v>
      </c>
      <c r="K32" s="63">
        <f t="shared" si="4"/>
        <v>8.5</v>
      </c>
    </row>
    <row r="33" spans="2:11" ht="15.75" customHeight="1">
      <c r="B33" s="52" t="s">
        <v>10</v>
      </c>
      <c r="C33" s="38" t="str">
        <f>VLOOKUP(C29,Alumnos!$B$4:$K$40,10,FALSE)</f>
        <v>Perez Cosio Juan Roman</v>
      </c>
      <c r="E33" s="57" t="s">
        <v>134</v>
      </c>
      <c r="F33" s="25">
        <v>10</v>
      </c>
      <c r="G33" s="25">
        <v>10</v>
      </c>
      <c r="H33" s="25">
        <v>9</v>
      </c>
      <c r="I33" s="25">
        <v>9</v>
      </c>
      <c r="K33" s="63">
        <f t="shared" si="4"/>
        <v>9.5</v>
      </c>
    </row>
    <row r="34" spans="2:11" ht="15.75" customHeight="1">
      <c r="E34" s="57" t="s">
        <v>135</v>
      </c>
      <c r="F34" s="25">
        <v>10</v>
      </c>
      <c r="G34" s="25">
        <v>10</v>
      </c>
      <c r="H34" s="25">
        <v>9</v>
      </c>
      <c r="I34" s="25">
        <v>10</v>
      </c>
      <c r="K34" s="63">
        <f t="shared" si="4"/>
        <v>9.75</v>
      </c>
    </row>
    <row r="35" spans="2:11" ht="15.75" customHeight="1">
      <c r="E35" s="57" t="s">
        <v>160</v>
      </c>
      <c r="F35" s="25">
        <v>7</v>
      </c>
      <c r="G35" s="25">
        <v>10</v>
      </c>
      <c r="H35" s="25">
        <v>9</v>
      </c>
      <c r="I35" s="25">
        <v>8</v>
      </c>
      <c r="K35" s="63">
        <f t="shared" si="4"/>
        <v>8.5</v>
      </c>
    </row>
    <row r="36" spans="2:11" ht="15.75" customHeight="1">
      <c r="K36" s="61"/>
    </row>
    <row r="37" spans="2:11" ht="15.75" customHeight="1">
      <c r="E37" s="52" t="s">
        <v>137</v>
      </c>
      <c r="F37" s="63">
        <f t="shared" ref="F37:I37" si="5">AVERAGE(F30:F35)</f>
        <v>8.5</v>
      </c>
      <c r="G37" s="63">
        <f t="shared" si="5"/>
        <v>9.6666666666666661</v>
      </c>
      <c r="H37" s="63">
        <f t="shared" si="5"/>
        <v>8.6666666666666661</v>
      </c>
      <c r="I37" s="63">
        <f t="shared" si="5"/>
        <v>9</v>
      </c>
      <c r="K37" s="61"/>
    </row>
    <row r="38" spans="2:11" ht="15.75" customHeight="1">
      <c r="E38" s="51"/>
      <c r="F38" s="62"/>
      <c r="G38" s="62"/>
      <c r="H38" s="62"/>
      <c r="I38" s="62"/>
      <c r="K38" s="61"/>
    </row>
    <row r="39" spans="2:11" ht="15.75" customHeight="1">
      <c r="E39" s="51"/>
      <c r="F39" s="62"/>
      <c r="G39" s="62"/>
      <c r="H39" s="62"/>
      <c r="I39" s="62"/>
      <c r="K39" s="61"/>
    </row>
    <row r="40" spans="2:11" ht="15.75" customHeight="1">
      <c r="K40" s="61"/>
    </row>
    <row r="41" spans="2:11" ht="15.75" customHeight="1">
      <c r="E41" s="93" t="s">
        <v>154</v>
      </c>
      <c r="F41" s="94" t="s">
        <v>155</v>
      </c>
      <c r="G41" s="71"/>
      <c r="H41" s="71"/>
      <c r="I41" s="72"/>
    </row>
    <row r="42" spans="2:11" ht="15.75" customHeight="1">
      <c r="B42" s="52" t="s">
        <v>1</v>
      </c>
      <c r="C42" s="53">
        <v>30</v>
      </c>
      <c r="D42" s="54"/>
      <c r="E42" s="77"/>
      <c r="F42" s="55" t="s">
        <v>156</v>
      </c>
      <c r="G42" s="55" t="s">
        <v>157</v>
      </c>
      <c r="H42" s="55" t="s">
        <v>158</v>
      </c>
      <c r="I42" s="55" t="s">
        <v>159</v>
      </c>
      <c r="K42" s="56" t="s">
        <v>137</v>
      </c>
    </row>
    <row r="43" spans="2:11" ht="15.75" customHeight="1">
      <c r="B43" s="52" t="s">
        <v>4</v>
      </c>
      <c r="C43" s="38" t="str">
        <f>VLOOKUP(C42,Alumnos!$B$4:$K$40,2,FALSE)&amp;" "&amp;VLOOKUP(C42,Alumnos!$B$4:$K$40,3,FALSE)&amp;" "&amp;VLOOKUP(C42,Alumnos!$B$4:$K$40,4,FALSE)</f>
        <v>Perez Pineda Isabella</v>
      </c>
      <c r="E43" s="57" t="s">
        <v>131</v>
      </c>
      <c r="F43" s="25">
        <v>10</v>
      </c>
      <c r="G43" s="25">
        <v>10</v>
      </c>
      <c r="H43" s="25">
        <v>10</v>
      </c>
      <c r="I43" s="25">
        <v>10</v>
      </c>
      <c r="K43" s="63">
        <f t="shared" ref="K43:K48" si="6">AVERAGE(F43:I43)</f>
        <v>10</v>
      </c>
    </row>
    <row r="44" spans="2:11" ht="15.75" customHeight="1">
      <c r="B44" s="48" t="s">
        <v>8</v>
      </c>
      <c r="C44" s="59">
        <f>VLOOKUP(C42,Alumnos!$B$4:$K$40,8,FALSE)</f>
        <v>3</v>
      </c>
      <c r="E44" s="57" t="s">
        <v>132</v>
      </c>
      <c r="F44" s="25">
        <v>9</v>
      </c>
      <c r="G44" s="25">
        <v>8</v>
      </c>
      <c r="H44" s="25">
        <v>10</v>
      </c>
      <c r="I44" s="25">
        <v>9</v>
      </c>
      <c r="K44" s="63">
        <f t="shared" si="6"/>
        <v>9</v>
      </c>
    </row>
    <row r="45" spans="2:11" ht="15.75" customHeight="1">
      <c r="B45" s="48" t="s">
        <v>9</v>
      </c>
      <c r="C45" s="60" t="str">
        <f>VLOOKUP(C42,Alumnos!$B$4:$K$40,9,FALSE)</f>
        <v>3°A</v>
      </c>
      <c r="E45" s="57" t="s">
        <v>133</v>
      </c>
      <c r="F45" s="25">
        <v>10</v>
      </c>
      <c r="G45" s="25">
        <v>10</v>
      </c>
      <c r="H45" s="25">
        <v>10</v>
      </c>
      <c r="I45" s="25">
        <v>9</v>
      </c>
      <c r="K45" s="63">
        <f t="shared" si="6"/>
        <v>9.75</v>
      </c>
    </row>
    <row r="46" spans="2:11" ht="15.75" customHeight="1">
      <c r="B46" s="52" t="s">
        <v>10</v>
      </c>
      <c r="C46" s="38" t="str">
        <f>VLOOKUP(C42,Alumnos!$B$4:$K$40,10,FALSE)</f>
        <v>Perez Cosio Juan Roman</v>
      </c>
      <c r="E46" s="57" t="s">
        <v>134</v>
      </c>
      <c r="F46" s="25">
        <v>9</v>
      </c>
      <c r="G46" s="25">
        <v>8</v>
      </c>
      <c r="H46" s="25">
        <v>10</v>
      </c>
      <c r="I46" s="25">
        <v>9</v>
      </c>
      <c r="K46" s="63">
        <f t="shared" si="6"/>
        <v>9</v>
      </c>
    </row>
    <row r="47" spans="2:11" ht="15.75" customHeight="1">
      <c r="E47" s="57" t="s">
        <v>135</v>
      </c>
      <c r="F47" s="25">
        <v>10</v>
      </c>
      <c r="G47" s="25">
        <v>9</v>
      </c>
      <c r="H47" s="25">
        <v>8</v>
      </c>
      <c r="I47" s="25">
        <v>10</v>
      </c>
      <c r="K47" s="63">
        <f t="shared" si="6"/>
        <v>9.25</v>
      </c>
    </row>
    <row r="48" spans="2:11" ht="15.75" customHeight="1">
      <c r="E48" s="57" t="s">
        <v>160</v>
      </c>
      <c r="F48" s="25">
        <v>9</v>
      </c>
      <c r="G48" s="25">
        <v>9</v>
      </c>
      <c r="H48" s="25">
        <v>9</v>
      </c>
      <c r="I48" s="25">
        <v>9</v>
      </c>
      <c r="K48" s="63">
        <f t="shared" si="6"/>
        <v>9</v>
      </c>
    </row>
    <row r="49" spans="2:11" ht="15.75" customHeight="1">
      <c r="K49" s="61"/>
    </row>
    <row r="50" spans="2:11" ht="15.75" customHeight="1">
      <c r="E50" s="52" t="s">
        <v>137</v>
      </c>
      <c r="F50" s="63">
        <f t="shared" ref="F50:I50" si="7">AVERAGE(F43:F48)</f>
        <v>9.5</v>
      </c>
      <c r="G50" s="63">
        <f t="shared" si="7"/>
        <v>9</v>
      </c>
      <c r="H50" s="63">
        <f t="shared" si="7"/>
        <v>9.5</v>
      </c>
      <c r="I50" s="63">
        <f t="shared" si="7"/>
        <v>9.3333333333333339</v>
      </c>
      <c r="K50" s="61"/>
    </row>
    <row r="51" spans="2:11" ht="15.75" customHeight="1">
      <c r="E51" s="51"/>
      <c r="F51" s="62"/>
      <c r="G51" s="62"/>
      <c r="H51" s="62"/>
      <c r="I51" s="62"/>
      <c r="K51" s="61"/>
    </row>
    <row r="52" spans="2:11" ht="15.75" customHeight="1">
      <c r="E52" s="51"/>
      <c r="F52" s="62"/>
      <c r="G52" s="62"/>
      <c r="H52" s="62"/>
      <c r="I52" s="62"/>
      <c r="K52" s="61"/>
    </row>
    <row r="53" spans="2:11" ht="15.75" customHeight="1">
      <c r="K53" s="61"/>
    </row>
    <row r="54" spans="2:11" ht="15.75" customHeight="1">
      <c r="E54" s="93" t="s">
        <v>154</v>
      </c>
      <c r="F54" s="94" t="s">
        <v>155</v>
      </c>
      <c r="G54" s="71"/>
      <c r="H54" s="71"/>
      <c r="I54" s="72"/>
    </row>
    <row r="55" spans="2:11" ht="15.75" customHeight="1">
      <c r="B55" s="52" t="s">
        <v>1</v>
      </c>
      <c r="C55" s="53">
        <v>31</v>
      </c>
      <c r="D55" s="54"/>
      <c r="E55" s="77"/>
      <c r="F55" s="55" t="s">
        <v>156</v>
      </c>
      <c r="G55" s="55" t="s">
        <v>157</v>
      </c>
      <c r="H55" s="55" t="s">
        <v>158</v>
      </c>
      <c r="I55" s="55" t="s">
        <v>159</v>
      </c>
      <c r="K55" s="56" t="s">
        <v>137</v>
      </c>
    </row>
    <row r="56" spans="2:11" ht="15.75" customHeight="1">
      <c r="B56" s="52" t="s">
        <v>4</v>
      </c>
      <c r="C56" s="38" t="str">
        <f>VLOOKUP(C55,Alumnos!$B$4:$K$40,2,FALSE)&amp;" "&amp;VLOOKUP(C55,Alumnos!$B$4:$K$40,3,FALSE)&amp;" "&amp;VLOOKUP(C55,Alumnos!$B$4:$K$40,4,FALSE)</f>
        <v>Garcia Moreno Roberto</v>
      </c>
      <c r="E56" s="57" t="s">
        <v>131</v>
      </c>
      <c r="F56" s="25">
        <v>10</v>
      </c>
      <c r="G56" s="25">
        <v>10</v>
      </c>
      <c r="H56" s="25">
        <v>10</v>
      </c>
      <c r="I56" s="25">
        <v>9</v>
      </c>
      <c r="K56" s="63">
        <f t="shared" ref="K56:K61" si="8">AVERAGE(F56:I56)</f>
        <v>9.75</v>
      </c>
    </row>
    <row r="57" spans="2:11" ht="15.75" customHeight="1">
      <c r="B57" s="48" t="s">
        <v>8</v>
      </c>
      <c r="C57" s="59">
        <f>VLOOKUP(C55,Alumnos!$B$4:$K$40,8,FALSE)</f>
        <v>3</v>
      </c>
      <c r="E57" s="57" t="s">
        <v>132</v>
      </c>
      <c r="F57" s="25">
        <v>6</v>
      </c>
      <c r="G57" s="25">
        <v>10</v>
      </c>
      <c r="H57" s="25">
        <v>6</v>
      </c>
      <c r="I57" s="25">
        <v>10</v>
      </c>
      <c r="K57" s="63">
        <f t="shared" si="8"/>
        <v>8</v>
      </c>
    </row>
    <row r="58" spans="2:11" ht="15.75" customHeight="1">
      <c r="B58" s="48" t="s">
        <v>9</v>
      </c>
      <c r="C58" s="60" t="str">
        <f>VLOOKUP(C55,Alumnos!$B$4:$K$40,9,FALSE)</f>
        <v>3°A</v>
      </c>
      <c r="E58" s="57" t="s">
        <v>133</v>
      </c>
      <c r="F58" s="25">
        <v>10</v>
      </c>
      <c r="G58" s="25">
        <v>9</v>
      </c>
      <c r="H58" s="25">
        <v>10</v>
      </c>
      <c r="I58" s="25">
        <v>10</v>
      </c>
      <c r="K58" s="63">
        <f t="shared" si="8"/>
        <v>9.75</v>
      </c>
    </row>
    <row r="59" spans="2:11" ht="15.75" customHeight="1">
      <c r="B59" s="52" t="s">
        <v>10</v>
      </c>
      <c r="C59" s="38" t="str">
        <f>VLOOKUP(C55,Alumnos!$B$4:$K$40,10,FALSE)</f>
        <v>Perez Cosio Juan Roman</v>
      </c>
      <c r="E59" s="57" t="s">
        <v>134</v>
      </c>
      <c r="F59" s="25">
        <v>8</v>
      </c>
      <c r="G59" s="25">
        <v>10</v>
      </c>
      <c r="H59" s="25">
        <v>9</v>
      </c>
      <c r="I59" s="25">
        <v>10</v>
      </c>
      <c r="K59" s="63">
        <f t="shared" si="8"/>
        <v>9.25</v>
      </c>
    </row>
    <row r="60" spans="2:11" ht="15.75" customHeight="1">
      <c r="E60" s="57" t="s">
        <v>135</v>
      </c>
      <c r="F60" s="25">
        <v>10</v>
      </c>
      <c r="G60" s="25">
        <v>6</v>
      </c>
      <c r="H60" s="25">
        <v>8</v>
      </c>
      <c r="I60" s="25">
        <v>10</v>
      </c>
      <c r="K60" s="63">
        <f t="shared" si="8"/>
        <v>8.5</v>
      </c>
    </row>
    <row r="61" spans="2:11" ht="15.75" customHeight="1">
      <c r="E61" s="57" t="s">
        <v>160</v>
      </c>
      <c r="F61" s="25">
        <v>9</v>
      </c>
      <c r="G61" s="25">
        <v>10</v>
      </c>
      <c r="H61" s="25">
        <v>8</v>
      </c>
      <c r="I61" s="25">
        <v>8</v>
      </c>
      <c r="K61" s="63">
        <f t="shared" si="8"/>
        <v>8.75</v>
      </c>
    </row>
    <row r="62" spans="2:11" ht="15.75" customHeight="1">
      <c r="K62" s="61"/>
    </row>
    <row r="63" spans="2:11" ht="15.75" customHeight="1">
      <c r="E63" s="52" t="s">
        <v>137</v>
      </c>
      <c r="F63" s="63">
        <f t="shared" ref="F63:I63" si="9">AVERAGE(F56:F61)</f>
        <v>8.8333333333333339</v>
      </c>
      <c r="G63" s="63">
        <f t="shared" si="9"/>
        <v>9.1666666666666661</v>
      </c>
      <c r="H63" s="63">
        <f t="shared" si="9"/>
        <v>8.5</v>
      </c>
      <c r="I63" s="63">
        <f t="shared" si="9"/>
        <v>9.5</v>
      </c>
      <c r="K63" s="61"/>
    </row>
    <row r="64" spans="2:11" ht="15.75" customHeight="1">
      <c r="E64" s="51"/>
      <c r="F64" s="62"/>
      <c r="G64" s="62"/>
      <c r="H64" s="62"/>
      <c r="I64" s="62"/>
      <c r="K64" s="61"/>
    </row>
    <row r="65" spans="2:11" ht="15.75" customHeight="1">
      <c r="E65" s="51"/>
      <c r="F65" s="62"/>
      <c r="G65" s="62"/>
      <c r="H65" s="62"/>
      <c r="I65" s="62"/>
      <c r="K65" s="61"/>
    </row>
    <row r="66" spans="2:11" ht="15.75" customHeight="1">
      <c r="K66" s="61"/>
    </row>
    <row r="67" spans="2:11" ht="15.75" customHeight="1">
      <c r="E67" s="93" t="s">
        <v>154</v>
      </c>
      <c r="F67" s="94" t="s">
        <v>155</v>
      </c>
      <c r="G67" s="71"/>
      <c r="H67" s="71"/>
      <c r="I67" s="72"/>
    </row>
    <row r="68" spans="2:11" ht="15.75" customHeight="1">
      <c r="B68" s="52" t="s">
        <v>1</v>
      </c>
      <c r="C68" s="53">
        <v>32</v>
      </c>
      <c r="D68" s="54"/>
      <c r="E68" s="77"/>
      <c r="F68" s="55" t="s">
        <v>156</v>
      </c>
      <c r="G68" s="55" t="s">
        <v>157</v>
      </c>
      <c r="H68" s="55" t="s">
        <v>158</v>
      </c>
      <c r="I68" s="55" t="s">
        <v>159</v>
      </c>
      <c r="K68" s="56" t="s">
        <v>137</v>
      </c>
    </row>
    <row r="69" spans="2:11" ht="15.75" customHeight="1">
      <c r="B69" s="52" t="s">
        <v>4</v>
      </c>
      <c r="C69" s="38" t="str">
        <f>VLOOKUP(C68,Alumnos!$B$4:$K$40,2,FALSE)&amp;" "&amp;VLOOKUP(C68,Alumnos!$B$4:$K$40,3,FALSE)&amp;" "&amp;VLOOKUP(C68,Alumnos!$B$4:$K$40,4,FALSE)</f>
        <v>Silva Vega Maria</v>
      </c>
      <c r="E69" s="57" t="s">
        <v>131</v>
      </c>
      <c r="F69" s="25">
        <v>10</v>
      </c>
      <c r="G69" s="25">
        <v>10</v>
      </c>
      <c r="H69" s="25">
        <v>9</v>
      </c>
      <c r="I69" s="25">
        <v>8</v>
      </c>
      <c r="K69" s="63">
        <f t="shared" ref="K69:K74" si="10">AVERAGE(F69:I69)</f>
        <v>9.25</v>
      </c>
    </row>
    <row r="70" spans="2:11" ht="15.75" customHeight="1">
      <c r="B70" s="48" t="s">
        <v>8</v>
      </c>
      <c r="C70" s="59">
        <f>VLOOKUP(C68,Alumnos!$B$4:$K$40,8,FALSE)</f>
        <v>3</v>
      </c>
      <c r="E70" s="57" t="s">
        <v>132</v>
      </c>
      <c r="F70" s="25">
        <v>6</v>
      </c>
      <c r="G70" s="25">
        <v>7</v>
      </c>
      <c r="H70" s="25">
        <v>8</v>
      </c>
      <c r="I70" s="25">
        <v>6</v>
      </c>
      <c r="K70" s="63">
        <f t="shared" si="10"/>
        <v>6.75</v>
      </c>
    </row>
    <row r="71" spans="2:11" ht="15.75" customHeight="1">
      <c r="B71" s="48" t="s">
        <v>9</v>
      </c>
      <c r="C71" s="60" t="str">
        <f>VLOOKUP(C68,Alumnos!$B$4:$K$40,9,FALSE)</f>
        <v>3°A</v>
      </c>
      <c r="E71" s="57" t="s">
        <v>133</v>
      </c>
      <c r="F71" s="25">
        <v>10</v>
      </c>
      <c r="G71" s="25">
        <v>9</v>
      </c>
      <c r="H71" s="25">
        <v>8</v>
      </c>
      <c r="I71" s="25">
        <v>9</v>
      </c>
      <c r="K71" s="63">
        <f t="shared" si="10"/>
        <v>9</v>
      </c>
    </row>
    <row r="72" spans="2:11" ht="15.75" customHeight="1">
      <c r="B72" s="52" t="s">
        <v>10</v>
      </c>
      <c r="C72" s="38" t="str">
        <f>VLOOKUP(C68,Alumnos!$B$4:$K$40,10,FALSE)</f>
        <v>Perez Cosio Juan Roman</v>
      </c>
      <c r="E72" s="57" t="s">
        <v>134</v>
      </c>
      <c r="F72" s="25">
        <v>8</v>
      </c>
      <c r="G72" s="25">
        <v>10</v>
      </c>
      <c r="H72" s="25">
        <v>9</v>
      </c>
      <c r="I72" s="25">
        <v>10</v>
      </c>
      <c r="K72" s="63">
        <f t="shared" si="10"/>
        <v>9.25</v>
      </c>
    </row>
    <row r="73" spans="2:11" ht="15.75" customHeight="1">
      <c r="E73" s="57" t="s">
        <v>135</v>
      </c>
      <c r="F73" s="25">
        <v>8</v>
      </c>
      <c r="G73" s="25">
        <v>10</v>
      </c>
      <c r="H73" s="25">
        <v>8</v>
      </c>
      <c r="I73" s="25">
        <v>10</v>
      </c>
      <c r="K73" s="63">
        <f t="shared" si="10"/>
        <v>9</v>
      </c>
    </row>
    <row r="74" spans="2:11" ht="15.75" customHeight="1">
      <c r="E74" s="57" t="s">
        <v>160</v>
      </c>
      <c r="F74" s="25">
        <v>10</v>
      </c>
      <c r="G74" s="25">
        <v>8</v>
      </c>
      <c r="H74" s="25">
        <v>8</v>
      </c>
      <c r="I74" s="25">
        <v>9</v>
      </c>
      <c r="K74" s="63">
        <f t="shared" si="10"/>
        <v>8.75</v>
      </c>
    </row>
    <row r="75" spans="2:11" ht="15.75" customHeight="1">
      <c r="K75" s="61"/>
    </row>
    <row r="76" spans="2:11" ht="15.75" customHeight="1">
      <c r="E76" s="52" t="s">
        <v>137</v>
      </c>
      <c r="F76" s="63">
        <f t="shared" ref="F76:I76" si="11">AVERAGE(F69:F74)</f>
        <v>8.6666666666666661</v>
      </c>
      <c r="G76" s="63">
        <f t="shared" si="11"/>
        <v>9</v>
      </c>
      <c r="H76" s="63">
        <f t="shared" si="11"/>
        <v>8.3333333333333339</v>
      </c>
      <c r="I76" s="63">
        <f t="shared" si="11"/>
        <v>8.6666666666666661</v>
      </c>
      <c r="K76" s="61"/>
    </row>
    <row r="77" spans="2:11" ht="15.75" customHeight="1">
      <c r="E77" s="51"/>
      <c r="F77" s="62"/>
      <c r="G77" s="62"/>
      <c r="H77" s="62"/>
      <c r="I77" s="62"/>
      <c r="K77" s="61"/>
    </row>
    <row r="78" spans="2:11" ht="15.75" customHeight="1">
      <c r="E78" s="51"/>
      <c r="F78" s="62"/>
      <c r="G78" s="62"/>
      <c r="H78" s="62"/>
      <c r="I78" s="62"/>
      <c r="K78" s="61"/>
    </row>
    <row r="79" spans="2:11" ht="15.75" customHeight="1">
      <c r="K79" s="61"/>
    </row>
    <row r="80" spans="2:11" ht="15.75" customHeight="1">
      <c r="E80" s="93" t="s">
        <v>154</v>
      </c>
      <c r="F80" s="94" t="s">
        <v>155</v>
      </c>
      <c r="G80" s="71"/>
      <c r="H80" s="71"/>
      <c r="I80" s="72"/>
    </row>
    <row r="81" spans="2:11" ht="15.75" customHeight="1">
      <c r="B81" s="52" t="s">
        <v>1</v>
      </c>
      <c r="C81" s="53">
        <v>33</v>
      </c>
      <c r="D81" s="54"/>
      <c r="E81" s="77"/>
      <c r="F81" s="55" t="s">
        <v>156</v>
      </c>
      <c r="G81" s="55" t="s">
        <v>157</v>
      </c>
      <c r="H81" s="55" t="s">
        <v>158</v>
      </c>
      <c r="I81" s="55" t="s">
        <v>159</v>
      </c>
      <c r="K81" s="56" t="s">
        <v>137</v>
      </c>
    </row>
    <row r="82" spans="2:11" ht="15.75" customHeight="1">
      <c r="B82" s="52" t="s">
        <v>4</v>
      </c>
      <c r="C82" s="38" t="str">
        <f>VLOOKUP(C81,Alumnos!$B$4:$K$40,2,FALSE)&amp;" "&amp;VLOOKUP(C81,Alumnos!$B$4:$K$40,3,FALSE)&amp;" "&amp;VLOOKUP(C81,Alumnos!$B$4:$K$40,4,FALSE)</f>
        <v>Salazar Rodríguez Raquel Sofia</v>
      </c>
      <c r="E82" s="57" t="s">
        <v>131</v>
      </c>
      <c r="F82" s="25">
        <v>7</v>
      </c>
      <c r="G82" s="25">
        <v>8</v>
      </c>
      <c r="H82" s="25">
        <v>10</v>
      </c>
      <c r="I82" s="25">
        <v>8</v>
      </c>
      <c r="K82" s="63">
        <f t="shared" ref="K82:K87" si="12">AVERAGE(F82:I82)</f>
        <v>8.25</v>
      </c>
    </row>
    <row r="83" spans="2:11" ht="15.75" customHeight="1">
      <c r="B83" s="48" t="s">
        <v>8</v>
      </c>
      <c r="C83" s="59">
        <f>VLOOKUP(C81,Alumnos!$B$4:$K$40,8,FALSE)</f>
        <v>3</v>
      </c>
      <c r="E83" s="57" t="s">
        <v>132</v>
      </c>
      <c r="F83" s="25">
        <v>10</v>
      </c>
      <c r="G83" s="25">
        <v>10</v>
      </c>
      <c r="H83" s="25">
        <v>10</v>
      </c>
      <c r="I83" s="25">
        <v>8</v>
      </c>
      <c r="K83" s="63">
        <f t="shared" si="12"/>
        <v>9.5</v>
      </c>
    </row>
    <row r="84" spans="2:11" ht="15.75" customHeight="1">
      <c r="B84" s="48" t="s">
        <v>9</v>
      </c>
      <c r="C84" s="60" t="str">
        <f>VLOOKUP(C81,Alumnos!$B$4:$K$40,9,FALSE)</f>
        <v>3°A</v>
      </c>
      <c r="E84" s="57" t="s">
        <v>133</v>
      </c>
      <c r="F84" s="25">
        <v>10</v>
      </c>
      <c r="G84" s="25">
        <v>10</v>
      </c>
      <c r="H84" s="25">
        <v>9</v>
      </c>
      <c r="I84" s="25">
        <v>10</v>
      </c>
      <c r="K84" s="63">
        <f t="shared" si="12"/>
        <v>9.75</v>
      </c>
    </row>
    <row r="85" spans="2:11" ht="15.75" customHeight="1">
      <c r="B85" s="52" t="s">
        <v>10</v>
      </c>
      <c r="C85" s="38" t="str">
        <f>VLOOKUP(C81,Alumnos!$B$4:$K$40,10,FALSE)</f>
        <v>Perez Cosio Juan Roman</v>
      </c>
      <c r="E85" s="57" t="s">
        <v>134</v>
      </c>
      <c r="F85" s="25">
        <v>8</v>
      </c>
      <c r="G85" s="25">
        <v>8</v>
      </c>
      <c r="H85" s="25">
        <v>10</v>
      </c>
      <c r="I85" s="25">
        <v>8</v>
      </c>
      <c r="K85" s="63">
        <f t="shared" si="12"/>
        <v>8.5</v>
      </c>
    </row>
    <row r="86" spans="2:11" ht="15.75" customHeight="1">
      <c r="E86" s="57" t="s">
        <v>135</v>
      </c>
      <c r="F86" s="25">
        <v>9</v>
      </c>
      <c r="G86" s="25">
        <v>9</v>
      </c>
      <c r="H86" s="25">
        <v>9</v>
      </c>
      <c r="I86" s="25">
        <v>9</v>
      </c>
      <c r="K86" s="63">
        <f t="shared" si="12"/>
        <v>9</v>
      </c>
    </row>
    <row r="87" spans="2:11" ht="15.75" customHeight="1">
      <c r="E87" s="57" t="s">
        <v>160</v>
      </c>
      <c r="F87" s="25">
        <v>10</v>
      </c>
      <c r="G87" s="25">
        <v>9</v>
      </c>
      <c r="H87" s="25">
        <v>10</v>
      </c>
      <c r="I87" s="25">
        <v>9</v>
      </c>
      <c r="K87" s="63">
        <f t="shared" si="12"/>
        <v>9.5</v>
      </c>
    </row>
    <row r="88" spans="2:11" ht="15.75" customHeight="1">
      <c r="K88" s="61"/>
    </row>
    <row r="89" spans="2:11" ht="15.75" customHeight="1">
      <c r="E89" s="52" t="s">
        <v>137</v>
      </c>
      <c r="F89" s="63">
        <f t="shared" ref="F89:I89" si="13">AVERAGE(F82:F87)</f>
        <v>9</v>
      </c>
      <c r="G89" s="63">
        <f t="shared" si="13"/>
        <v>9</v>
      </c>
      <c r="H89" s="63">
        <f t="shared" si="13"/>
        <v>9.6666666666666661</v>
      </c>
      <c r="I89" s="63">
        <f t="shared" si="13"/>
        <v>8.6666666666666661</v>
      </c>
      <c r="K89" s="61"/>
    </row>
    <row r="90" spans="2:11" ht="15.75" customHeight="1">
      <c r="E90" s="51"/>
      <c r="F90" s="62"/>
      <c r="G90" s="62"/>
      <c r="H90" s="62"/>
      <c r="I90" s="62"/>
      <c r="K90" s="61"/>
    </row>
    <row r="91" spans="2:11" ht="15.75" customHeight="1">
      <c r="E91" s="51"/>
      <c r="F91" s="62"/>
      <c r="G91" s="62"/>
      <c r="H91" s="62"/>
      <c r="I91" s="62"/>
      <c r="K91" s="61"/>
    </row>
    <row r="92" spans="2:11" ht="15.75" customHeight="1">
      <c r="K92" s="61"/>
    </row>
    <row r="93" spans="2:11" ht="15.75" customHeight="1">
      <c r="E93" s="93" t="s">
        <v>154</v>
      </c>
      <c r="F93" s="94" t="s">
        <v>155</v>
      </c>
      <c r="G93" s="71"/>
      <c r="H93" s="71"/>
      <c r="I93" s="72"/>
    </row>
    <row r="94" spans="2:11" ht="15.75" customHeight="1">
      <c r="B94" s="52" t="s">
        <v>1</v>
      </c>
      <c r="C94" s="53">
        <v>34</v>
      </c>
      <c r="D94" s="54"/>
      <c r="E94" s="77"/>
      <c r="F94" s="55" t="s">
        <v>156</v>
      </c>
      <c r="G94" s="55" t="s">
        <v>157</v>
      </c>
      <c r="H94" s="55" t="s">
        <v>158</v>
      </c>
      <c r="I94" s="55" t="s">
        <v>159</v>
      </c>
      <c r="K94" s="56" t="s">
        <v>137</v>
      </c>
    </row>
    <row r="95" spans="2:11" ht="15.75" customHeight="1">
      <c r="B95" s="52" t="s">
        <v>4</v>
      </c>
      <c r="C95" s="38" t="str">
        <f>VLOOKUP(C94,Alumnos!$B$4:$K$40,2,FALSE)&amp;" "&amp;VLOOKUP(C94,Alumnos!$B$4:$K$40,3,FALSE)&amp;" "&amp;VLOOKUP(C94,Alumnos!$B$4:$K$40,4,FALSE)</f>
        <v>Herrera Flores Daniela Noemi</v>
      </c>
      <c r="E95" s="57" t="s">
        <v>131</v>
      </c>
      <c r="F95" s="25">
        <v>10</v>
      </c>
      <c r="G95" s="25">
        <v>10</v>
      </c>
      <c r="H95" s="25">
        <v>10</v>
      </c>
      <c r="I95" s="25">
        <v>9</v>
      </c>
      <c r="K95" s="63">
        <f t="shared" ref="K95:K100" si="14">AVERAGE(F95:I95)</f>
        <v>9.75</v>
      </c>
    </row>
    <row r="96" spans="2:11" ht="15.75" customHeight="1">
      <c r="B96" s="48" t="s">
        <v>8</v>
      </c>
      <c r="C96" s="59">
        <f>VLOOKUP(C94,Alumnos!$B$4:$K$40,8,FALSE)</f>
        <v>3</v>
      </c>
      <c r="E96" s="57" t="s">
        <v>132</v>
      </c>
      <c r="F96" s="25">
        <v>10</v>
      </c>
      <c r="G96" s="25">
        <v>8</v>
      </c>
      <c r="H96" s="25">
        <v>10</v>
      </c>
      <c r="I96" s="25">
        <v>8</v>
      </c>
      <c r="K96" s="63">
        <f t="shared" si="14"/>
        <v>9</v>
      </c>
    </row>
    <row r="97" spans="2:11" ht="15.75" customHeight="1">
      <c r="B97" s="48" t="s">
        <v>9</v>
      </c>
      <c r="C97" s="60" t="str">
        <f>VLOOKUP(C94,Alumnos!$B$4:$K$40,9,FALSE)</f>
        <v>3°A</v>
      </c>
      <c r="E97" s="57" t="s">
        <v>133</v>
      </c>
      <c r="F97" s="25">
        <v>8</v>
      </c>
      <c r="G97" s="25">
        <v>8</v>
      </c>
      <c r="H97" s="25">
        <v>10</v>
      </c>
      <c r="I97" s="25">
        <v>8</v>
      </c>
      <c r="K97" s="63">
        <f t="shared" si="14"/>
        <v>8.5</v>
      </c>
    </row>
    <row r="98" spans="2:11" ht="15.75" customHeight="1">
      <c r="B98" s="52" t="s">
        <v>10</v>
      </c>
      <c r="C98" s="38" t="str">
        <f>VLOOKUP(C94,Alumnos!$B$4:$K$40,10,FALSE)</f>
        <v>Perez Cosio Juan Roman</v>
      </c>
      <c r="E98" s="57" t="s">
        <v>134</v>
      </c>
      <c r="F98" s="25">
        <v>9</v>
      </c>
      <c r="G98" s="25">
        <v>10</v>
      </c>
      <c r="H98" s="25">
        <v>6</v>
      </c>
      <c r="I98" s="25">
        <v>7</v>
      </c>
      <c r="K98" s="63">
        <f t="shared" si="14"/>
        <v>8</v>
      </c>
    </row>
    <row r="99" spans="2:11" ht="15.75" customHeight="1">
      <c r="E99" s="57" t="s">
        <v>135</v>
      </c>
      <c r="F99" s="25">
        <v>9</v>
      </c>
      <c r="G99" s="25">
        <v>10</v>
      </c>
      <c r="H99" s="25">
        <v>9</v>
      </c>
      <c r="I99" s="25">
        <v>9</v>
      </c>
      <c r="K99" s="63">
        <f t="shared" si="14"/>
        <v>9.25</v>
      </c>
    </row>
    <row r="100" spans="2:11" ht="15.75" customHeight="1">
      <c r="E100" s="57" t="s">
        <v>160</v>
      </c>
      <c r="F100" s="25">
        <v>10</v>
      </c>
      <c r="G100" s="25">
        <v>10</v>
      </c>
      <c r="H100" s="25">
        <v>8</v>
      </c>
      <c r="I100" s="25">
        <v>10</v>
      </c>
      <c r="K100" s="63">
        <f t="shared" si="14"/>
        <v>9.5</v>
      </c>
    </row>
    <row r="101" spans="2:11" ht="15.75" customHeight="1">
      <c r="K101" s="61"/>
    </row>
    <row r="102" spans="2:11" ht="15.75" customHeight="1">
      <c r="E102" s="52" t="s">
        <v>137</v>
      </c>
      <c r="F102" s="63">
        <f t="shared" ref="F102:I102" si="15">AVERAGE(F95:F100)</f>
        <v>9.3333333333333339</v>
      </c>
      <c r="G102" s="63">
        <f t="shared" si="15"/>
        <v>9.3333333333333339</v>
      </c>
      <c r="H102" s="63">
        <f t="shared" si="15"/>
        <v>8.8333333333333339</v>
      </c>
      <c r="I102" s="63">
        <f t="shared" si="15"/>
        <v>8.5</v>
      </c>
      <c r="K102" s="61"/>
    </row>
    <row r="103" spans="2:11" ht="15.75" customHeight="1">
      <c r="E103" s="51"/>
      <c r="F103" s="62"/>
      <c r="G103" s="62"/>
      <c r="H103" s="62"/>
      <c r="I103" s="62"/>
      <c r="K103" s="61"/>
    </row>
    <row r="104" spans="2:11" ht="15.75" customHeight="1">
      <c r="E104" s="51"/>
      <c r="F104" s="62"/>
      <c r="G104" s="62"/>
      <c r="H104" s="62"/>
      <c r="I104" s="62"/>
      <c r="K104" s="61"/>
    </row>
    <row r="105" spans="2:11" ht="15.75" customHeight="1">
      <c r="K105" s="61"/>
    </row>
    <row r="106" spans="2:11" ht="15.75" customHeight="1">
      <c r="E106" s="93" t="s">
        <v>154</v>
      </c>
      <c r="F106" s="94" t="s">
        <v>155</v>
      </c>
      <c r="G106" s="71"/>
      <c r="H106" s="71"/>
      <c r="I106" s="72"/>
    </row>
    <row r="107" spans="2:11" ht="15.75" customHeight="1">
      <c r="B107" s="52" t="s">
        <v>1</v>
      </c>
      <c r="C107" s="53">
        <v>35</v>
      </c>
      <c r="D107" s="54"/>
      <c r="E107" s="77"/>
      <c r="F107" s="55" t="s">
        <v>156</v>
      </c>
      <c r="G107" s="55" t="s">
        <v>157</v>
      </c>
      <c r="H107" s="55" t="s">
        <v>158</v>
      </c>
      <c r="I107" s="55" t="s">
        <v>159</v>
      </c>
      <c r="K107" s="56" t="s">
        <v>137</v>
      </c>
    </row>
    <row r="108" spans="2:11" ht="15.75" customHeight="1">
      <c r="B108" s="52" t="s">
        <v>4</v>
      </c>
      <c r="C108" s="38" t="str">
        <f>VLOOKUP(C107,Alumnos!$B$4:$K$40,2,FALSE)&amp;" "&amp;VLOOKUP(C107,Alumnos!$B$4:$K$40,3,FALSE)&amp;" "&amp;VLOOKUP(C107,Alumnos!$B$4:$K$40,4,FALSE)</f>
        <v>Silva Cruz Sofia</v>
      </c>
      <c r="E108" s="57" t="s">
        <v>131</v>
      </c>
      <c r="F108" s="25">
        <v>10</v>
      </c>
      <c r="G108" s="25">
        <v>10</v>
      </c>
      <c r="H108" s="25">
        <v>10</v>
      </c>
      <c r="I108" s="25">
        <v>10</v>
      </c>
      <c r="K108" s="63">
        <f t="shared" ref="K108:K113" si="16">AVERAGE(F108:I108)</f>
        <v>10</v>
      </c>
    </row>
    <row r="109" spans="2:11" ht="15.75" customHeight="1">
      <c r="B109" s="48" t="s">
        <v>8</v>
      </c>
      <c r="C109" s="59">
        <f>VLOOKUP(C107,Alumnos!$B$4:$K$40,8,FALSE)</f>
        <v>3</v>
      </c>
      <c r="E109" s="57" t="s">
        <v>132</v>
      </c>
      <c r="F109" s="25">
        <v>7</v>
      </c>
      <c r="G109" s="25">
        <v>7</v>
      </c>
      <c r="H109" s="25">
        <v>7</v>
      </c>
      <c r="I109" s="25">
        <v>6</v>
      </c>
      <c r="K109" s="63">
        <f t="shared" si="16"/>
        <v>6.75</v>
      </c>
    </row>
    <row r="110" spans="2:11" ht="15.75" customHeight="1">
      <c r="B110" s="48" t="s">
        <v>9</v>
      </c>
      <c r="C110" s="60" t="str">
        <f>VLOOKUP(C107,Alumnos!$B$4:$K$40,9,FALSE)</f>
        <v>3°A</v>
      </c>
      <c r="E110" s="57" t="s">
        <v>133</v>
      </c>
      <c r="F110" s="25">
        <v>9</v>
      </c>
      <c r="G110" s="25">
        <v>9</v>
      </c>
      <c r="H110" s="25">
        <v>8</v>
      </c>
      <c r="I110" s="25">
        <v>9</v>
      </c>
      <c r="K110" s="63">
        <f t="shared" si="16"/>
        <v>8.75</v>
      </c>
    </row>
    <row r="111" spans="2:11" ht="15.75" customHeight="1">
      <c r="B111" s="52" t="s">
        <v>10</v>
      </c>
      <c r="C111" s="38" t="str">
        <f>VLOOKUP(C107,Alumnos!$B$4:$K$40,10,FALSE)</f>
        <v>Perez Cosio Juan Roman</v>
      </c>
      <c r="E111" s="57" t="s">
        <v>134</v>
      </c>
      <c r="F111" s="25">
        <v>10</v>
      </c>
      <c r="G111" s="25">
        <v>10</v>
      </c>
      <c r="H111" s="25">
        <v>10</v>
      </c>
      <c r="I111" s="25">
        <v>10</v>
      </c>
      <c r="K111" s="63">
        <f t="shared" si="16"/>
        <v>10</v>
      </c>
    </row>
    <row r="112" spans="2:11" ht="15.75" customHeight="1">
      <c r="E112" s="57" t="s">
        <v>135</v>
      </c>
      <c r="F112" s="25">
        <v>9</v>
      </c>
      <c r="G112" s="25">
        <v>9</v>
      </c>
      <c r="H112" s="25">
        <v>7</v>
      </c>
      <c r="I112" s="25">
        <v>10</v>
      </c>
      <c r="K112" s="63">
        <f t="shared" si="16"/>
        <v>8.75</v>
      </c>
    </row>
    <row r="113" spans="2:11" ht="15.75" customHeight="1">
      <c r="E113" s="57" t="s">
        <v>160</v>
      </c>
      <c r="F113" s="25">
        <v>10</v>
      </c>
      <c r="G113" s="25">
        <v>9</v>
      </c>
      <c r="H113" s="25">
        <v>10</v>
      </c>
      <c r="I113" s="25">
        <v>10</v>
      </c>
      <c r="K113" s="63">
        <f t="shared" si="16"/>
        <v>9.75</v>
      </c>
    </row>
    <row r="114" spans="2:11" ht="15.75" customHeight="1">
      <c r="K114" s="61"/>
    </row>
    <row r="115" spans="2:11" ht="15.75" customHeight="1">
      <c r="E115" s="52" t="s">
        <v>137</v>
      </c>
      <c r="F115" s="63">
        <f t="shared" ref="F115:I115" si="17">AVERAGE(F108:F113)</f>
        <v>9.1666666666666661</v>
      </c>
      <c r="G115" s="63">
        <f t="shared" si="17"/>
        <v>9</v>
      </c>
      <c r="H115" s="63">
        <f t="shared" si="17"/>
        <v>8.6666666666666661</v>
      </c>
      <c r="I115" s="63">
        <f t="shared" si="17"/>
        <v>9.1666666666666661</v>
      </c>
      <c r="K115" s="61"/>
    </row>
    <row r="116" spans="2:11" ht="15.75" customHeight="1">
      <c r="E116" s="51"/>
      <c r="F116" s="62"/>
      <c r="G116" s="62"/>
      <c r="H116" s="62"/>
      <c r="I116" s="62"/>
      <c r="K116" s="61"/>
    </row>
    <row r="117" spans="2:11" ht="15.75" customHeight="1">
      <c r="E117" s="51"/>
      <c r="F117" s="62"/>
      <c r="G117" s="62"/>
      <c r="H117" s="62"/>
      <c r="I117" s="62"/>
      <c r="K117" s="61"/>
    </row>
    <row r="118" spans="2:11" ht="15.75" customHeight="1">
      <c r="K118" s="61"/>
    </row>
    <row r="119" spans="2:11" ht="15.75" customHeight="1">
      <c r="E119" s="93" t="s">
        <v>154</v>
      </c>
      <c r="F119" s="94" t="s">
        <v>155</v>
      </c>
      <c r="G119" s="71"/>
      <c r="H119" s="71"/>
      <c r="I119" s="72"/>
    </row>
    <row r="120" spans="2:11" ht="15.75" customHeight="1">
      <c r="B120" s="52" t="s">
        <v>1</v>
      </c>
      <c r="C120" s="53">
        <v>36</v>
      </c>
      <c r="D120" s="54"/>
      <c r="E120" s="77"/>
      <c r="F120" s="55" t="s">
        <v>156</v>
      </c>
      <c r="G120" s="55" t="s">
        <v>157</v>
      </c>
      <c r="H120" s="55" t="s">
        <v>158</v>
      </c>
      <c r="I120" s="55" t="s">
        <v>159</v>
      </c>
      <c r="K120" s="56" t="s">
        <v>137</v>
      </c>
    </row>
    <row r="121" spans="2:11" ht="15.75" customHeight="1">
      <c r="B121" s="52" t="s">
        <v>4</v>
      </c>
      <c r="C121" s="38" t="str">
        <f>VLOOKUP(C120,Alumnos!$B$4:$K$40,2,FALSE)&amp;" "&amp;VLOOKUP(C120,Alumnos!$B$4:$K$40,3,FALSE)&amp;" "&amp;VLOOKUP(C120,Alumnos!$B$4:$K$40,4,FALSE)</f>
        <v>Alvaréz Pérez Julian</v>
      </c>
      <c r="E121" s="57" t="s">
        <v>131</v>
      </c>
      <c r="F121" s="25">
        <v>10</v>
      </c>
      <c r="G121" s="25">
        <v>8</v>
      </c>
      <c r="H121" s="25">
        <v>10</v>
      </c>
      <c r="I121" s="25">
        <v>10</v>
      </c>
      <c r="K121" s="63">
        <f t="shared" ref="K121:K126" si="18">AVERAGE(F121:I121)</f>
        <v>9.5</v>
      </c>
    </row>
    <row r="122" spans="2:11" ht="15.75" customHeight="1">
      <c r="B122" s="48" t="s">
        <v>8</v>
      </c>
      <c r="C122" s="59">
        <f>VLOOKUP(C120,Alumnos!$B$4:$K$40,8,FALSE)</f>
        <v>3</v>
      </c>
      <c r="E122" s="57" t="s">
        <v>132</v>
      </c>
      <c r="F122" s="25">
        <v>10</v>
      </c>
      <c r="G122" s="25">
        <v>10</v>
      </c>
      <c r="H122" s="25">
        <v>10</v>
      </c>
      <c r="I122" s="25">
        <v>10</v>
      </c>
      <c r="K122" s="63">
        <f t="shared" si="18"/>
        <v>10</v>
      </c>
    </row>
    <row r="123" spans="2:11" ht="15.75" customHeight="1">
      <c r="B123" s="48" t="s">
        <v>9</v>
      </c>
      <c r="C123" s="60" t="str">
        <f>VLOOKUP(C120,Alumnos!$B$4:$K$40,9,FALSE)</f>
        <v>3°A</v>
      </c>
      <c r="E123" s="57" t="s">
        <v>133</v>
      </c>
      <c r="F123" s="25">
        <v>6</v>
      </c>
      <c r="G123" s="25">
        <v>10</v>
      </c>
      <c r="H123" s="25">
        <v>8</v>
      </c>
      <c r="I123" s="25">
        <v>7</v>
      </c>
      <c r="K123" s="63">
        <f t="shared" si="18"/>
        <v>7.75</v>
      </c>
    </row>
    <row r="124" spans="2:11" ht="15.75" customHeight="1">
      <c r="B124" s="52" t="s">
        <v>10</v>
      </c>
      <c r="C124" s="38" t="str">
        <f>VLOOKUP(C120,Alumnos!$B$4:$K$40,10,FALSE)</f>
        <v>Perez Cosio Juan Roman</v>
      </c>
      <c r="E124" s="57" t="s">
        <v>134</v>
      </c>
      <c r="F124" s="25">
        <v>10</v>
      </c>
      <c r="G124" s="25">
        <v>9</v>
      </c>
      <c r="H124" s="25">
        <v>9</v>
      </c>
      <c r="I124" s="25">
        <v>9</v>
      </c>
      <c r="K124" s="63">
        <f t="shared" si="18"/>
        <v>9.25</v>
      </c>
    </row>
    <row r="125" spans="2:11" ht="15.75" customHeight="1">
      <c r="E125" s="57" t="s">
        <v>135</v>
      </c>
      <c r="F125" s="25">
        <v>10</v>
      </c>
      <c r="G125" s="25">
        <v>10</v>
      </c>
      <c r="H125" s="25">
        <v>10</v>
      </c>
      <c r="I125" s="25">
        <v>10</v>
      </c>
      <c r="K125" s="63">
        <f t="shared" si="18"/>
        <v>10</v>
      </c>
    </row>
    <row r="126" spans="2:11" ht="15.75" customHeight="1">
      <c r="E126" s="57" t="s">
        <v>160</v>
      </c>
      <c r="F126" s="25">
        <v>8</v>
      </c>
      <c r="G126" s="25">
        <v>9</v>
      </c>
      <c r="H126" s="25">
        <v>9</v>
      </c>
      <c r="I126" s="25">
        <v>10</v>
      </c>
      <c r="K126" s="63">
        <f t="shared" si="18"/>
        <v>9</v>
      </c>
    </row>
    <row r="127" spans="2:11" ht="15.75" customHeight="1">
      <c r="K127" s="61"/>
    </row>
    <row r="128" spans="2:11" ht="15.75" customHeight="1">
      <c r="E128" s="52" t="s">
        <v>137</v>
      </c>
      <c r="F128" s="63">
        <f t="shared" ref="F128:I128" si="19">AVERAGE(F121:F126)</f>
        <v>9</v>
      </c>
      <c r="G128" s="63">
        <f t="shared" si="19"/>
        <v>9.3333333333333339</v>
      </c>
      <c r="H128" s="63">
        <f t="shared" si="19"/>
        <v>9.3333333333333339</v>
      </c>
      <c r="I128" s="63">
        <f t="shared" si="19"/>
        <v>9.3333333333333339</v>
      </c>
      <c r="K128" s="61"/>
    </row>
    <row r="129" spans="2:11" ht="15.75" customHeight="1">
      <c r="E129" s="51"/>
      <c r="F129" s="62"/>
      <c r="G129" s="62"/>
      <c r="H129" s="62"/>
      <c r="I129" s="62"/>
      <c r="K129" s="61"/>
    </row>
    <row r="130" spans="2:11" ht="15.75" customHeight="1">
      <c r="E130" s="51"/>
      <c r="F130" s="62"/>
      <c r="G130" s="62"/>
      <c r="H130" s="62"/>
      <c r="I130" s="62"/>
      <c r="K130" s="61"/>
    </row>
    <row r="131" spans="2:11" ht="15.75" customHeight="1">
      <c r="K131" s="61"/>
    </row>
    <row r="132" spans="2:11" ht="15.75" customHeight="1">
      <c r="E132" s="93" t="s">
        <v>154</v>
      </c>
      <c r="F132" s="94" t="s">
        <v>155</v>
      </c>
      <c r="G132" s="71"/>
      <c r="H132" s="71"/>
      <c r="I132" s="72"/>
    </row>
    <row r="133" spans="2:11" ht="15.75" customHeight="1">
      <c r="B133" s="52" t="s">
        <v>1</v>
      </c>
      <c r="C133" s="53">
        <v>36</v>
      </c>
      <c r="D133" s="54"/>
      <c r="E133" s="77"/>
      <c r="F133" s="55" t="s">
        <v>156</v>
      </c>
      <c r="G133" s="55" t="s">
        <v>157</v>
      </c>
      <c r="H133" s="55" t="s">
        <v>158</v>
      </c>
      <c r="I133" s="55" t="s">
        <v>159</v>
      </c>
      <c r="K133" s="56" t="s">
        <v>137</v>
      </c>
    </row>
    <row r="134" spans="2:11" ht="15.75" customHeight="1">
      <c r="B134" s="52" t="s">
        <v>4</v>
      </c>
      <c r="C134" s="38" t="str">
        <f>VLOOKUP(C133,Alumnos!$B$4:$K$40,2,FALSE)&amp;" "&amp;VLOOKUP(C133,Alumnos!$B$4:$K$40,3,FALSE)&amp;" "&amp;VLOOKUP(C133,Alumnos!$B$4:$K$40,4,FALSE)</f>
        <v>Alvaréz Pérez Julian</v>
      </c>
      <c r="E134" s="57" t="s">
        <v>131</v>
      </c>
      <c r="F134" s="25">
        <v>8</v>
      </c>
      <c r="G134" s="25">
        <v>9</v>
      </c>
      <c r="H134" s="25">
        <v>10</v>
      </c>
      <c r="I134" s="25">
        <v>8</v>
      </c>
      <c r="K134" s="63">
        <f t="shared" ref="K134:K139" si="20">AVERAGE(F134:I134)</f>
        <v>8.75</v>
      </c>
    </row>
    <row r="135" spans="2:11" ht="15.75" customHeight="1">
      <c r="B135" s="48" t="s">
        <v>8</v>
      </c>
      <c r="C135" s="59">
        <f>VLOOKUP(C133,Alumnos!$B$4:$K$40,8,FALSE)</f>
        <v>3</v>
      </c>
      <c r="E135" s="57" t="s">
        <v>132</v>
      </c>
      <c r="F135" s="25">
        <v>7</v>
      </c>
      <c r="G135" s="25">
        <v>8</v>
      </c>
      <c r="H135" s="25">
        <v>6</v>
      </c>
      <c r="I135" s="25">
        <v>10</v>
      </c>
      <c r="K135" s="63">
        <f t="shared" si="20"/>
        <v>7.75</v>
      </c>
    </row>
    <row r="136" spans="2:11" ht="15.75" customHeight="1">
      <c r="B136" s="48" t="s">
        <v>9</v>
      </c>
      <c r="C136" s="60" t="str">
        <f>VLOOKUP(C133,Alumnos!$B$4:$K$40,9,FALSE)</f>
        <v>3°A</v>
      </c>
      <c r="E136" s="57" t="s">
        <v>133</v>
      </c>
      <c r="F136" s="25">
        <v>10</v>
      </c>
      <c r="G136" s="25">
        <v>8</v>
      </c>
      <c r="H136" s="25">
        <v>7</v>
      </c>
      <c r="I136" s="25">
        <v>10</v>
      </c>
      <c r="K136" s="63">
        <f t="shared" si="20"/>
        <v>8.75</v>
      </c>
    </row>
    <row r="137" spans="2:11" ht="15.75" customHeight="1">
      <c r="B137" s="52" t="s">
        <v>10</v>
      </c>
      <c r="C137" s="38" t="str">
        <f>VLOOKUP(C133,Alumnos!$B$4:$K$40,10,FALSE)</f>
        <v>Perez Cosio Juan Roman</v>
      </c>
      <c r="E137" s="57" t="s">
        <v>134</v>
      </c>
      <c r="F137" s="25">
        <v>9</v>
      </c>
      <c r="G137" s="25">
        <v>9</v>
      </c>
      <c r="H137" s="25">
        <v>7</v>
      </c>
      <c r="I137" s="25">
        <v>10</v>
      </c>
      <c r="K137" s="63">
        <f t="shared" si="20"/>
        <v>8.75</v>
      </c>
    </row>
    <row r="138" spans="2:11" ht="15.75" customHeight="1">
      <c r="E138" s="57" t="s">
        <v>135</v>
      </c>
      <c r="F138" s="25">
        <v>6</v>
      </c>
      <c r="G138" s="25">
        <v>10</v>
      </c>
      <c r="H138" s="25">
        <v>8</v>
      </c>
      <c r="I138" s="25">
        <v>8</v>
      </c>
      <c r="K138" s="63">
        <f t="shared" si="20"/>
        <v>8</v>
      </c>
    </row>
    <row r="139" spans="2:11" ht="15.75" customHeight="1">
      <c r="E139" s="57" t="s">
        <v>160</v>
      </c>
      <c r="F139" s="25">
        <v>6</v>
      </c>
      <c r="G139" s="25">
        <v>9</v>
      </c>
      <c r="H139" s="25">
        <v>10</v>
      </c>
      <c r="I139" s="25">
        <v>10</v>
      </c>
      <c r="K139" s="63">
        <f t="shared" si="20"/>
        <v>8.75</v>
      </c>
    </row>
    <row r="140" spans="2:11" ht="15.75" customHeight="1">
      <c r="K140" s="61"/>
    </row>
    <row r="141" spans="2:11" ht="15.75" customHeight="1">
      <c r="E141" s="52" t="s">
        <v>137</v>
      </c>
      <c r="F141" s="63">
        <f t="shared" ref="F141:I141" si="21">AVERAGE(F134:F139)</f>
        <v>7.666666666666667</v>
      </c>
      <c r="G141" s="63">
        <f t="shared" si="21"/>
        <v>8.8333333333333339</v>
      </c>
      <c r="H141" s="63">
        <f t="shared" si="21"/>
        <v>8</v>
      </c>
      <c r="I141" s="63">
        <f t="shared" si="21"/>
        <v>9.3333333333333339</v>
      </c>
      <c r="K141" s="61"/>
    </row>
    <row r="142" spans="2:11" ht="15.75" customHeight="1">
      <c r="E142" s="51"/>
      <c r="F142" s="62"/>
      <c r="G142" s="62"/>
      <c r="H142" s="62"/>
      <c r="I142" s="62"/>
      <c r="K142" s="61"/>
    </row>
    <row r="143" spans="2:11" ht="15.75" customHeight="1">
      <c r="E143" s="51"/>
      <c r="F143" s="62"/>
      <c r="G143" s="62"/>
      <c r="H143" s="62"/>
      <c r="I143" s="62"/>
      <c r="K143" s="61"/>
    </row>
    <row r="144" spans="2:11" ht="15.75" customHeight="1">
      <c r="K144" s="61"/>
    </row>
    <row r="145" spans="2:11" ht="15.75" customHeight="1">
      <c r="E145" s="93" t="s">
        <v>154</v>
      </c>
      <c r="F145" s="94" t="s">
        <v>155</v>
      </c>
      <c r="G145" s="71"/>
      <c r="H145" s="71"/>
      <c r="I145" s="72"/>
    </row>
    <row r="146" spans="2:11" ht="15.75" customHeight="1">
      <c r="B146" s="52" t="s">
        <v>1</v>
      </c>
      <c r="C146" s="53">
        <v>37</v>
      </c>
      <c r="D146" s="54"/>
      <c r="E146" s="77"/>
      <c r="F146" s="55" t="s">
        <v>156</v>
      </c>
      <c r="G146" s="55" t="s">
        <v>157</v>
      </c>
      <c r="H146" s="55" t="s">
        <v>158</v>
      </c>
      <c r="I146" s="55" t="s">
        <v>159</v>
      </c>
      <c r="K146" s="56" t="s">
        <v>137</v>
      </c>
    </row>
    <row r="147" spans="2:11" ht="15.75" customHeight="1">
      <c r="B147" s="52" t="s">
        <v>4</v>
      </c>
      <c r="C147" s="38" t="str">
        <f>VLOOKUP(C146,Alumnos!$B$4:$K$40,2,FALSE)&amp;" "&amp;VLOOKUP(C146,Alumnos!$B$4:$K$40,3,FALSE)&amp;" "&amp;VLOOKUP(C146,Alumnos!$B$4:$K$40,4,FALSE)</f>
        <v>Cardenas Cadena Noemi Marisol</v>
      </c>
      <c r="E147" s="57" t="s">
        <v>131</v>
      </c>
      <c r="F147" s="25">
        <v>8</v>
      </c>
      <c r="G147" s="25">
        <v>8</v>
      </c>
      <c r="H147" s="25">
        <v>9</v>
      </c>
      <c r="I147" s="25">
        <v>8</v>
      </c>
      <c r="K147" s="63">
        <f t="shared" ref="K147:K152" si="22">AVERAGE(F147:I147)</f>
        <v>8.25</v>
      </c>
    </row>
    <row r="148" spans="2:11" ht="15.75" customHeight="1">
      <c r="B148" s="48" t="s">
        <v>8</v>
      </c>
      <c r="C148" s="59">
        <f>VLOOKUP(C146,Alumnos!$B$4:$K$40,8,FALSE)</f>
        <v>3</v>
      </c>
      <c r="E148" s="57" t="s">
        <v>132</v>
      </c>
      <c r="F148" s="25">
        <v>10</v>
      </c>
      <c r="G148" s="25">
        <v>8</v>
      </c>
      <c r="H148" s="25">
        <v>10</v>
      </c>
      <c r="I148" s="25">
        <v>7</v>
      </c>
      <c r="K148" s="63">
        <f t="shared" si="22"/>
        <v>8.75</v>
      </c>
    </row>
    <row r="149" spans="2:11" ht="15.75" customHeight="1">
      <c r="B149" s="48" t="s">
        <v>9</v>
      </c>
      <c r="C149" s="60" t="str">
        <f>VLOOKUP(C146,Alumnos!$B$4:$K$40,9,FALSE)</f>
        <v>3°A</v>
      </c>
      <c r="E149" s="57" t="s">
        <v>133</v>
      </c>
      <c r="F149" s="25">
        <v>10</v>
      </c>
      <c r="G149" s="25">
        <v>10</v>
      </c>
      <c r="H149" s="25">
        <v>8</v>
      </c>
      <c r="I149" s="25">
        <v>7</v>
      </c>
      <c r="K149" s="63">
        <f t="shared" si="22"/>
        <v>8.75</v>
      </c>
    </row>
    <row r="150" spans="2:11" ht="15.75" customHeight="1">
      <c r="B150" s="52" t="s">
        <v>10</v>
      </c>
      <c r="C150" s="38" t="str">
        <f>VLOOKUP(C146,Alumnos!$B$4:$K$40,10,FALSE)</f>
        <v>Perez Cosio Juan Roman</v>
      </c>
      <c r="E150" s="57" t="s">
        <v>134</v>
      </c>
      <c r="F150" s="25">
        <v>8</v>
      </c>
      <c r="G150" s="25">
        <v>8</v>
      </c>
      <c r="H150" s="25">
        <v>8</v>
      </c>
      <c r="I150" s="25">
        <v>10</v>
      </c>
      <c r="K150" s="63">
        <f t="shared" si="22"/>
        <v>8.5</v>
      </c>
    </row>
    <row r="151" spans="2:11" ht="15.75" customHeight="1">
      <c r="E151" s="57" t="s">
        <v>135</v>
      </c>
      <c r="F151" s="25">
        <v>9</v>
      </c>
      <c r="G151" s="25">
        <v>10</v>
      </c>
      <c r="H151" s="25">
        <v>10</v>
      </c>
      <c r="I151" s="25">
        <v>9</v>
      </c>
      <c r="K151" s="63">
        <f t="shared" si="22"/>
        <v>9.5</v>
      </c>
    </row>
    <row r="152" spans="2:11" ht="15.75" customHeight="1">
      <c r="E152" s="57" t="s">
        <v>160</v>
      </c>
      <c r="F152" s="25">
        <v>8</v>
      </c>
      <c r="G152" s="25">
        <v>10</v>
      </c>
      <c r="H152" s="25">
        <v>10</v>
      </c>
      <c r="I152" s="25">
        <v>8</v>
      </c>
      <c r="K152" s="63">
        <f t="shared" si="22"/>
        <v>9</v>
      </c>
    </row>
    <row r="153" spans="2:11" ht="15.75" customHeight="1">
      <c r="K153" s="61"/>
    </row>
    <row r="154" spans="2:11" ht="15.75" customHeight="1">
      <c r="E154" s="52" t="s">
        <v>137</v>
      </c>
      <c r="F154" s="63">
        <f t="shared" ref="F154:I154" si="23">AVERAGE(F147:F152)</f>
        <v>8.8333333333333339</v>
      </c>
      <c r="G154" s="63">
        <f t="shared" si="23"/>
        <v>9</v>
      </c>
      <c r="H154" s="63">
        <f t="shared" si="23"/>
        <v>9.1666666666666661</v>
      </c>
      <c r="I154" s="63">
        <f t="shared" si="23"/>
        <v>8.1666666666666661</v>
      </c>
      <c r="K154" s="61"/>
    </row>
    <row r="155" spans="2:11" ht="15.75" customHeight="1"/>
    <row r="156" spans="2:11" ht="15.75" customHeight="1"/>
    <row r="157" spans="2:11" ht="15.75" customHeight="1"/>
    <row r="158" spans="2:11" ht="15.75" customHeight="1"/>
    <row r="159" spans="2:11" ht="15.75" customHeight="1"/>
    <row r="160" spans="2:11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4">
    <mergeCell ref="E2:E3"/>
    <mergeCell ref="F2:I2"/>
    <mergeCell ref="E15:E16"/>
    <mergeCell ref="F15:I15"/>
    <mergeCell ref="E28:E29"/>
    <mergeCell ref="F28:I28"/>
    <mergeCell ref="F41:I41"/>
    <mergeCell ref="E41:E42"/>
    <mergeCell ref="E54:E55"/>
    <mergeCell ref="F54:I54"/>
    <mergeCell ref="E67:E68"/>
    <mergeCell ref="F67:I67"/>
    <mergeCell ref="E80:E81"/>
    <mergeCell ref="F80:I80"/>
    <mergeCell ref="E132:E133"/>
    <mergeCell ref="E145:E146"/>
    <mergeCell ref="F145:I145"/>
    <mergeCell ref="E93:E94"/>
    <mergeCell ref="F93:I93"/>
    <mergeCell ref="E106:E107"/>
    <mergeCell ref="F106:I106"/>
    <mergeCell ref="E119:E120"/>
    <mergeCell ref="F119:I119"/>
    <mergeCell ref="F132:I132"/>
  </mergeCell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Menú</vt:lpstr>
      <vt:lpstr>Alumnos</vt:lpstr>
      <vt:lpstr>Calificaciones</vt:lpstr>
      <vt:lpstr>Asistencia</vt:lpstr>
      <vt:lpstr>Boleta (Actual)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 Gómez</dc:creator>
  <cp:lastModifiedBy>Rafa</cp:lastModifiedBy>
  <dcterms:created xsi:type="dcterms:W3CDTF">2025-03-11T03:26:09Z</dcterms:created>
  <dcterms:modified xsi:type="dcterms:W3CDTF">2025-04-04T19:53:55Z</dcterms:modified>
</cp:coreProperties>
</file>